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Zubair Akhtar\Downloads\"/>
    </mc:Choice>
  </mc:AlternateContent>
  <xr:revisionPtr revIDLastSave="0" documentId="13_ncr:2001_{55AF14DA-8E0F-4ABA-8695-70C70089EFD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arent" sheetId="1" r:id="rId1"/>
    <sheet name="Childs" sheetId="2" r:id="rId2"/>
  </sheets>
  <calcPr calcId="191029"/>
  <fileRecoveryPr repairLoad="1"/>
</workbook>
</file>

<file path=xl/calcChain.xml><?xml version="1.0" encoding="utf-8"?>
<calcChain xmlns="http://schemas.openxmlformats.org/spreadsheetml/2006/main">
  <c r="E25" i="2" l="1"/>
  <c r="E9" i="2"/>
  <c r="F5" i="2"/>
  <c r="F4" i="2"/>
  <c r="E45" i="2"/>
  <c r="E14" i="2"/>
  <c r="E16" i="2"/>
  <c r="E20" i="2"/>
  <c r="E19" i="2"/>
  <c r="E10" i="2"/>
  <c r="E43" i="2"/>
  <c r="E37" i="2"/>
  <c r="E36" i="2"/>
  <c r="E35" i="2"/>
  <c r="E34" i="2"/>
  <c r="E27" i="2"/>
  <c r="E26" i="2"/>
  <c r="B21" i="1"/>
  <c r="B22" i="1"/>
  <c r="D19" i="1"/>
  <c r="E8" i="1"/>
  <c r="D8" i="1"/>
  <c r="F8" i="1"/>
  <c r="F5" i="1"/>
  <c r="E5" i="1"/>
  <c r="D5" i="1"/>
  <c r="E3" i="1"/>
  <c r="F3" i="1"/>
  <c r="F7" i="1"/>
  <c r="E7" i="1"/>
  <c r="E4" i="1"/>
  <c r="D6" i="1"/>
  <c r="F4" i="1"/>
  <c r="D4" i="1"/>
  <c r="D3" i="1"/>
  <c r="D7" i="1"/>
</calcChain>
</file>

<file path=xl/sharedStrings.xml><?xml version="1.0" encoding="utf-8"?>
<sst xmlns="http://schemas.openxmlformats.org/spreadsheetml/2006/main" count="159" uniqueCount="101">
  <si>
    <t>Local Market</t>
  </si>
  <si>
    <t>Variable</t>
  </si>
  <si>
    <t>Current Value</t>
  </si>
  <si>
    <t>Unit</t>
  </si>
  <si>
    <t>Electricity Price</t>
  </si>
  <si>
    <t>Per Unit</t>
  </si>
  <si>
    <t>Gas Price</t>
  </si>
  <si>
    <t>PKR/MMBTU</t>
  </si>
  <si>
    <t>Interest Rate</t>
  </si>
  <si>
    <t>%</t>
  </si>
  <si>
    <t>Local Cotton Production</t>
  </si>
  <si>
    <t>Local Demand Index</t>
  </si>
  <si>
    <t>Index</t>
  </si>
  <si>
    <t>International Market</t>
  </si>
  <si>
    <t>ICE Cotton Futures</t>
  </si>
  <si>
    <t>cents/lb</t>
  </si>
  <si>
    <t>USD Index</t>
  </si>
  <si>
    <t>Crude Oil Price</t>
  </si>
  <si>
    <t>USD/barrel</t>
  </si>
  <si>
    <t>China Demand Index</t>
  </si>
  <si>
    <t>Vietnam Demand Index</t>
  </si>
  <si>
    <t>Global Supply Index</t>
  </si>
  <si>
    <t>USD_Index = Current_USD / AVERAGE(Last_12_Months_USD)</t>
  </si>
  <si>
    <t>Oil_Index = Current_Oil_Price / AVERAGE(Last_12_Months_Oil_Price)</t>
  </si>
  <si>
    <t>China Demand Index = Current Period China Imports / Historical Average China Imports</t>
  </si>
  <si>
    <t>Vietnam Demand Index = Current Period Vietnam Imports / Historical Average Vietnam Imports</t>
  </si>
  <si>
    <t>Global Supply Index = Current Global Stocks / Long-term Average Stocks</t>
  </si>
  <si>
    <t>1 pkr price increment(3.33%)</t>
  </si>
  <si>
    <t>Assumed Increments</t>
  </si>
  <si>
    <t>1% increment(9.52%)</t>
  </si>
  <si>
    <t>+1 month delay</t>
  </si>
  <si>
    <t>Months</t>
  </si>
  <si>
    <t>% change in Cotton</t>
  </si>
  <si>
    <t>% change in Polyester</t>
  </si>
  <si>
    <t>Govt Energy Policy</t>
  </si>
  <si>
    <t>maund</t>
  </si>
  <si>
    <t>maund: 16000</t>
  </si>
  <si>
    <t>mmbtu: 3961.26</t>
  </si>
  <si>
    <t>% change in Viscos</t>
  </si>
  <si>
    <t>1 pkr increment(0.00625%)</t>
  </si>
  <si>
    <t>1 pkr price increment(0.0254%)</t>
  </si>
  <si>
    <t>Child Variables</t>
  </si>
  <si>
    <t>variables</t>
  </si>
  <si>
    <t>unit</t>
  </si>
  <si>
    <t>% change in Electricity Price</t>
  </si>
  <si>
    <t>Assumed Increment</t>
  </si>
  <si>
    <t>Fuel Price Index</t>
  </si>
  <si>
    <t>USD/PKR</t>
  </si>
  <si>
    <t>Capacity Payment</t>
  </si>
  <si>
    <t>Circular Debt Level</t>
  </si>
  <si>
    <t>Renewable Share</t>
  </si>
  <si>
    <t>Seasonal Demand</t>
  </si>
  <si>
    <t>rate</t>
  </si>
  <si>
    <t>index</t>
  </si>
  <si>
    <t>pkr/unit</t>
  </si>
  <si>
    <t>USD / PKR</t>
  </si>
  <si>
    <t>+1 PKR</t>
  </si>
  <si>
    <t>+100 bn</t>
  </si>
  <si>
    <t>–1 PKR</t>
  </si>
  <si>
    <t>electricity price</t>
  </si>
  <si>
    <t>Elasticity</t>
  </si>
  <si>
    <t>International Gas / LNG Price Index</t>
  </si>
  <si>
    <t>Domestic Supply Gap</t>
  </si>
  <si>
    <t>Seasonal Demand Index</t>
  </si>
  <si>
    <t>Long-Term Contract Share</t>
  </si>
  <si>
    <t>+1 unit</t>
  </si>
  <si>
    <t>Govt Gas Levy</t>
  </si>
  <si>
    <t>Gas Sector Circular Debt</t>
  </si>
  <si>
    <t>PKR bn</t>
  </si>
  <si>
    <t>PKR/unit</t>
  </si>
  <si>
    <t>Govt Subsidy Level</t>
  </si>
  <si>
    <t>minus 1 PKR</t>
  </si>
  <si>
    <t>Total Cotton Crop Size</t>
  </si>
  <si>
    <t>Cotton Yield per Acre</t>
  </si>
  <si>
    <t>kg/acre</t>
  </si>
  <si>
    <t>Area Under Cultivation</t>
  </si>
  <si>
    <t>Pest / Disease Impact</t>
  </si>
  <si>
    <t>Weather Shock (Flood / Heat)</t>
  </si>
  <si>
    <t>Govt Support Price (Phutti)</t>
  </si>
  <si>
    <t>PKR/40kg</t>
  </si>
  <si>
    <t>% change in Local Cotton Price</t>
  </si>
  <si>
    <t>Spinning Mill Utilization</t>
  </si>
  <si>
    <t>Yarn Export Orders</t>
  </si>
  <si>
    <t>Garment Export Orders</t>
  </si>
  <si>
    <t>Polyester–Cotton Price Gap</t>
  </si>
  <si>
    <t>Working Capital Availability</t>
  </si>
  <si>
    <t>% change in Cotton / Fiber Price</t>
  </si>
  <si>
    <t>Electricity Tariff Change</t>
  </si>
  <si>
    <t>Gas Tariff Change</t>
  </si>
  <si>
    <t>Energy Subsidy Withdrawal</t>
  </si>
  <si>
    <t>Solar / Captive Incentives</t>
  </si>
  <si>
    <t>Tariff Pass-Through Delay</t>
  </si>
  <si>
    <t>months</t>
  </si>
  <si>
    <t>+1 month</t>
  </si>
  <si>
    <t>1 pkr increment</t>
  </si>
  <si>
    <t>1 PKR</t>
  </si>
  <si>
    <t>pkr</t>
  </si>
  <si>
    <t>1 pkr</t>
  </si>
  <si>
    <t>1pkr</t>
  </si>
  <si>
    <t>PKR</t>
  </si>
  <si>
    <t>% change in variable by 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</si>
</sst>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0" fillId="3" borderId="0" xfId="0" applyFill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9" fontId="0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0" fillId="0" borderId="0" xfId="0" applyFont="1"/>
    <xf numFmtId="0" fontId="0" fillId="4" borderId="0" xfId="0" applyFill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="90" zoomScaleNormal="90" workbookViewId="0">
      <selection activeCell="B21" sqref="B21"/>
    </sheetView>
  </sheetViews>
  <sheetFormatPr defaultRowHeight="15" x14ac:dyDescent="0.25"/>
  <cols>
    <col min="1" max="1" width="29.7109375" customWidth="1"/>
    <col min="2" max="2" width="86.28515625" style="2" customWidth="1"/>
    <col min="3" max="3" width="14.7109375" customWidth="1"/>
    <col min="4" max="4" width="21.140625" customWidth="1"/>
    <col min="5" max="5" width="23.7109375" customWidth="1"/>
    <col min="6" max="6" width="20.28515625" customWidth="1"/>
  </cols>
  <sheetData>
    <row r="1" spans="1:6" x14ac:dyDescent="0.25">
      <c r="A1" s="1" t="s">
        <v>0</v>
      </c>
      <c r="C1" s="2"/>
      <c r="D1" s="2"/>
    </row>
    <row r="2" spans="1:6" x14ac:dyDescent="0.25">
      <c r="A2" s="3" t="s">
        <v>1</v>
      </c>
      <c r="B2" s="4" t="s">
        <v>28</v>
      </c>
      <c r="C2" s="4" t="s">
        <v>3</v>
      </c>
      <c r="D2" s="4" t="s">
        <v>32</v>
      </c>
      <c r="E2" s="7" t="s">
        <v>33</v>
      </c>
      <c r="F2" s="7" t="s">
        <v>38</v>
      </c>
    </row>
    <row r="3" spans="1:6" x14ac:dyDescent="0.25">
      <c r="A3" s="5" t="s">
        <v>4</v>
      </c>
      <c r="B3" s="2" t="s">
        <v>27</v>
      </c>
      <c r="C3" s="2" t="s">
        <v>5</v>
      </c>
      <c r="D3" s="2">
        <f>(3.33*0.31)</f>
        <v>1.0323</v>
      </c>
      <c r="E3">
        <f>(0.4*3.33)</f>
        <v>1.3320000000000001</v>
      </c>
      <c r="F3" s="2">
        <f>(0.45*3.33)</f>
        <v>1.4985000000000002</v>
      </c>
    </row>
    <row r="4" spans="1:6" x14ac:dyDescent="0.25">
      <c r="A4" s="5" t="s">
        <v>6</v>
      </c>
      <c r="B4" s="2" t="s">
        <v>40</v>
      </c>
      <c r="C4" s="2" t="s">
        <v>7</v>
      </c>
      <c r="D4" s="2">
        <f>(0.4*0.02524)</f>
        <v>1.0096000000000001E-2</v>
      </c>
      <c r="E4">
        <f>(0.55*0.02524)</f>
        <v>1.3882E-2</v>
      </c>
      <c r="F4" s="2">
        <f>(0.65*0.08)</f>
        <v>5.2000000000000005E-2</v>
      </c>
    </row>
    <row r="5" spans="1:6" x14ac:dyDescent="0.25">
      <c r="A5" s="5" t="s">
        <v>8</v>
      </c>
      <c r="B5" s="6" t="s">
        <v>29</v>
      </c>
      <c r="C5" s="2" t="s">
        <v>9</v>
      </c>
      <c r="D5" s="2">
        <f>(-0.2*1)</f>
        <v>-0.2</v>
      </c>
      <c r="E5">
        <f>(1*(-0.15))</f>
        <v>-0.15</v>
      </c>
      <c r="F5" s="2">
        <f>(-0.18*1)</f>
        <v>-0.18</v>
      </c>
    </row>
    <row r="6" spans="1:6" x14ac:dyDescent="0.25">
      <c r="A6" s="5" t="s">
        <v>10</v>
      </c>
      <c r="B6" s="2" t="s">
        <v>39</v>
      </c>
      <c r="C6" s="2" t="s">
        <v>35</v>
      </c>
      <c r="D6" s="2">
        <f>(0.00625*-0.35)</f>
        <v>-2.1874999999999998E-3</v>
      </c>
      <c r="E6">
        <v>0</v>
      </c>
      <c r="F6" s="2">
        <v>0</v>
      </c>
    </row>
    <row r="7" spans="1:6" x14ac:dyDescent="0.25">
      <c r="A7" s="5" t="s">
        <v>11</v>
      </c>
      <c r="B7" s="2" t="s">
        <v>39</v>
      </c>
      <c r="C7" s="2" t="s">
        <v>35</v>
      </c>
      <c r="D7" s="2">
        <f>(0.45*6.6)</f>
        <v>2.9699999999999998</v>
      </c>
      <c r="E7">
        <f>(0.00625*-0.2)</f>
        <v>-1.2500000000000002E-3</v>
      </c>
      <c r="F7" s="2">
        <f>(-0.1*0.00625)</f>
        <v>-6.2500000000000012E-4</v>
      </c>
    </row>
    <row r="8" spans="1:6" x14ac:dyDescent="0.25">
      <c r="A8" t="s">
        <v>34</v>
      </c>
      <c r="B8" s="2" t="s">
        <v>30</v>
      </c>
      <c r="C8" s="2" t="s">
        <v>31</v>
      </c>
      <c r="D8" s="2">
        <f>(-10*(-0.1))</f>
        <v>1</v>
      </c>
      <c r="E8">
        <f>(-0.12*-10)</f>
        <v>1.2</v>
      </c>
      <c r="F8" s="2">
        <f>(-0.15*-10)</f>
        <v>1.5</v>
      </c>
    </row>
    <row r="10" spans="1:6" x14ac:dyDescent="0.25">
      <c r="A10" s="1" t="s">
        <v>13</v>
      </c>
      <c r="C10" s="2"/>
      <c r="D10" s="2"/>
    </row>
    <row r="11" spans="1:6" x14ac:dyDescent="0.25">
      <c r="A11" s="3" t="s">
        <v>1</v>
      </c>
      <c r="B11" s="4" t="s">
        <v>2</v>
      </c>
      <c r="C11" s="4" t="s">
        <v>3</v>
      </c>
      <c r="D11" s="4" t="s">
        <v>32</v>
      </c>
      <c r="E11" s="7" t="s">
        <v>33</v>
      </c>
    </row>
    <row r="12" spans="1:6" x14ac:dyDescent="0.25">
      <c r="A12" s="5" t="s">
        <v>14</v>
      </c>
      <c r="B12" s="2">
        <v>64.349999999999994</v>
      </c>
      <c r="C12" s="2" t="s">
        <v>15</v>
      </c>
      <c r="D12" s="2"/>
      <c r="E12" s="2"/>
    </row>
    <row r="13" spans="1:6" x14ac:dyDescent="0.25">
      <c r="A13" s="5" t="s">
        <v>16</v>
      </c>
      <c r="B13" s="2" t="s">
        <v>22</v>
      </c>
      <c r="C13" s="2" t="s">
        <v>12</v>
      </c>
      <c r="D13" s="2"/>
      <c r="E13" s="2"/>
    </row>
    <row r="14" spans="1:6" x14ac:dyDescent="0.25">
      <c r="A14" s="5" t="s">
        <v>17</v>
      </c>
      <c r="B14" s="2" t="s">
        <v>23</v>
      </c>
      <c r="C14" s="2" t="s">
        <v>18</v>
      </c>
      <c r="D14" s="2"/>
      <c r="E14" s="2"/>
    </row>
    <row r="15" spans="1:6" x14ac:dyDescent="0.25">
      <c r="A15" s="5" t="s">
        <v>19</v>
      </c>
      <c r="B15" s="2" t="s">
        <v>24</v>
      </c>
      <c r="C15" s="2" t="s">
        <v>12</v>
      </c>
      <c r="D15" s="2"/>
      <c r="E15" s="2"/>
    </row>
    <row r="16" spans="1:6" x14ac:dyDescent="0.25">
      <c r="A16" s="5" t="s">
        <v>20</v>
      </c>
      <c r="B16" s="2" t="s">
        <v>25</v>
      </c>
      <c r="C16" s="2" t="s">
        <v>12</v>
      </c>
      <c r="D16" s="2"/>
      <c r="E16" s="2"/>
    </row>
    <row r="17" spans="1:5" x14ac:dyDescent="0.25">
      <c r="A17" s="5" t="s">
        <v>21</v>
      </c>
      <c r="B17" s="2" t="s">
        <v>26</v>
      </c>
      <c r="C17" s="2" t="s">
        <v>12</v>
      </c>
      <c r="D17" s="2"/>
      <c r="E17" s="2"/>
    </row>
    <row r="19" spans="1:5" x14ac:dyDescent="0.25">
      <c r="C19" s="2" t="s">
        <v>36</v>
      </c>
      <c r="D19">
        <f>(1/16000)*100</f>
        <v>6.2500000000000003E-3</v>
      </c>
    </row>
    <row r="20" spans="1:5" x14ac:dyDescent="0.25">
      <c r="A20" s="7"/>
      <c r="C20" s="2" t="s">
        <v>37</v>
      </c>
      <c r="D20">
        <v>0</v>
      </c>
    </row>
    <row r="21" spans="1:5" x14ac:dyDescent="0.25">
      <c r="B21" s="2">
        <f>(1/16000)*100</f>
        <v>6.2500000000000003E-3</v>
      </c>
    </row>
    <row r="22" spans="1:5" x14ac:dyDescent="0.25">
      <c r="B22" s="2">
        <f>(1/3961.26)*100</f>
        <v>2.5244492913870833E-2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E4E2-73C0-4C4A-8C1A-A1FDEC1854EA}">
  <dimension ref="A1:F46"/>
  <sheetViews>
    <sheetView tabSelected="1" workbookViewId="0">
      <selection activeCell="F12" sqref="F12"/>
    </sheetView>
  </sheetViews>
  <sheetFormatPr defaultRowHeight="15" x14ac:dyDescent="0.25"/>
  <cols>
    <col min="1" max="1" width="32" customWidth="1"/>
    <col min="2" max="2" width="14.85546875" customWidth="1"/>
    <col min="3" max="3" width="23.5703125" style="2" customWidth="1"/>
    <col min="4" max="4" width="26" bestFit="1" customWidth="1"/>
    <col min="5" max="5" width="29" customWidth="1"/>
    <col min="6" max="6" width="31.85546875" bestFit="1" customWidth="1"/>
  </cols>
  <sheetData>
    <row r="1" spans="1:6" x14ac:dyDescent="0.25">
      <c r="A1" s="21"/>
      <c r="B1" s="21"/>
      <c r="C1" s="8" t="s">
        <v>41</v>
      </c>
      <c r="D1" s="21"/>
      <c r="E1" s="21"/>
    </row>
    <row r="2" spans="1:6" x14ac:dyDescent="0.25">
      <c r="A2" s="13" t="s">
        <v>59</v>
      </c>
    </row>
    <row r="3" spans="1:6" ht="15" customHeight="1" x14ac:dyDescent="0.25">
      <c r="A3" s="10" t="s">
        <v>42</v>
      </c>
      <c r="B3" s="10" t="s">
        <v>43</v>
      </c>
      <c r="C3" s="10" t="s">
        <v>45</v>
      </c>
      <c r="D3" s="10" t="s">
        <v>60</v>
      </c>
      <c r="E3" s="10" t="s">
        <v>44</v>
      </c>
      <c r="F3" s="10" t="s">
        <v>100</v>
      </c>
    </row>
    <row r="4" spans="1:6" x14ac:dyDescent="0.25">
      <c r="A4" s="14" t="s">
        <v>46</v>
      </c>
      <c r="B4" s="15" t="s">
        <v>54</v>
      </c>
      <c r="C4" s="16" t="s">
        <v>97</v>
      </c>
      <c r="D4" s="15">
        <v>0.6</v>
      </c>
      <c r="E4" s="17">
        <v>0.6</v>
      </c>
      <c r="F4">
        <f>(1/15)*100</f>
        <v>6.666666666666667</v>
      </c>
    </row>
    <row r="5" spans="1:6" x14ac:dyDescent="0.25">
      <c r="A5" s="14" t="s">
        <v>55</v>
      </c>
      <c r="B5" s="15" t="s">
        <v>47</v>
      </c>
      <c r="C5" s="16" t="s">
        <v>98</v>
      </c>
      <c r="D5" s="15">
        <v>0.4</v>
      </c>
      <c r="E5" s="17">
        <v>0.4</v>
      </c>
      <c r="F5">
        <f>(1/280)*100</f>
        <v>0.35714285714285715</v>
      </c>
    </row>
    <row r="6" spans="1:6" x14ac:dyDescent="0.25">
      <c r="A6" s="14" t="s">
        <v>48</v>
      </c>
      <c r="B6" s="15" t="s">
        <v>69</v>
      </c>
      <c r="C6" s="15" t="s">
        <v>95</v>
      </c>
      <c r="D6" s="17">
        <v>2</v>
      </c>
      <c r="E6" s="15">
        <v>2</v>
      </c>
    </row>
    <row r="7" spans="1:6" x14ac:dyDescent="0.25">
      <c r="A7" s="14" t="s">
        <v>49</v>
      </c>
      <c r="B7" s="15" t="s">
        <v>99</v>
      </c>
      <c r="C7" s="15" t="s">
        <v>97</v>
      </c>
      <c r="D7" s="17">
        <v>1.4999999999999999E-2</v>
      </c>
      <c r="E7" s="15">
        <v>1.4999999999999999E-2</v>
      </c>
    </row>
    <row r="8" spans="1:6" x14ac:dyDescent="0.25">
      <c r="A8" s="14" t="s">
        <v>70</v>
      </c>
      <c r="B8" s="15" t="s">
        <v>69</v>
      </c>
      <c r="C8" s="15" t="s">
        <v>71</v>
      </c>
      <c r="D8" s="15">
        <v>-3</v>
      </c>
      <c r="E8" s="15">
        <v>-3</v>
      </c>
    </row>
    <row r="9" spans="1:6" x14ac:dyDescent="0.25">
      <c r="A9" s="14" t="s">
        <v>50</v>
      </c>
      <c r="B9" s="15" t="s">
        <v>9</v>
      </c>
      <c r="C9" s="16">
        <v>0.01</v>
      </c>
      <c r="D9" s="15">
        <v>-0.5</v>
      </c>
      <c r="E9" s="15">
        <f>(-0.5*1%)</f>
        <v>-5.0000000000000001E-3</v>
      </c>
    </row>
    <row r="10" spans="1:6" x14ac:dyDescent="0.25">
      <c r="A10" s="14" t="s">
        <v>51</v>
      </c>
      <c r="B10" s="15" t="s">
        <v>53</v>
      </c>
      <c r="C10" s="16">
        <v>0.01</v>
      </c>
      <c r="D10" s="15">
        <v>0.2</v>
      </c>
      <c r="E10" s="15">
        <f>(0.2*1%)</f>
        <v>2E-3</v>
      </c>
    </row>
    <row r="11" spans="1:6" x14ac:dyDescent="0.25">
      <c r="B11" s="10"/>
      <c r="C11" s="10"/>
      <c r="D11" s="10"/>
      <c r="E11" s="10"/>
    </row>
    <row r="12" spans="1:6" x14ac:dyDescent="0.25">
      <c r="A12" s="13" t="s">
        <v>6</v>
      </c>
      <c r="B12" s="9"/>
      <c r="C12" s="12"/>
      <c r="D12" s="9"/>
      <c r="E12" s="10"/>
    </row>
    <row r="13" spans="1:6" x14ac:dyDescent="0.25">
      <c r="A13" s="10" t="s">
        <v>42</v>
      </c>
      <c r="B13" s="10" t="s">
        <v>43</v>
      </c>
      <c r="C13" s="10" t="s">
        <v>45</v>
      </c>
      <c r="D13" s="10" t="s">
        <v>60</v>
      </c>
      <c r="E13" s="10" t="s">
        <v>44</v>
      </c>
    </row>
    <row r="14" spans="1:6" ht="15" customHeight="1" x14ac:dyDescent="0.25">
      <c r="A14" s="14" t="s">
        <v>61</v>
      </c>
      <c r="B14" s="15" t="s">
        <v>53</v>
      </c>
      <c r="C14" s="16">
        <v>0.01</v>
      </c>
      <c r="D14" s="15">
        <v>0.8</v>
      </c>
      <c r="E14" s="15">
        <f>(0.8*1%)</f>
        <v>8.0000000000000002E-3</v>
      </c>
    </row>
    <row r="15" spans="1:6" x14ac:dyDescent="0.25">
      <c r="A15" s="14" t="s">
        <v>55</v>
      </c>
      <c r="B15" s="15" t="s">
        <v>52</v>
      </c>
      <c r="C15" s="16" t="s">
        <v>98</v>
      </c>
      <c r="D15" s="15">
        <v>0.9</v>
      </c>
      <c r="E15" s="15">
        <v>0.9</v>
      </c>
    </row>
    <row r="16" spans="1:6" x14ac:dyDescent="0.25">
      <c r="A16" s="14" t="s">
        <v>62</v>
      </c>
      <c r="B16" s="15" t="s">
        <v>53</v>
      </c>
      <c r="C16" s="16">
        <v>0.01</v>
      </c>
      <c r="D16" s="15">
        <v>0.25</v>
      </c>
      <c r="E16" s="15">
        <f>(0.25*1%)</f>
        <v>2.5000000000000001E-3</v>
      </c>
    </row>
    <row r="17" spans="1:5" ht="15" customHeight="1" x14ac:dyDescent="0.25">
      <c r="A17" s="14" t="s">
        <v>66</v>
      </c>
      <c r="B17" s="15" t="s">
        <v>7</v>
      </c>
      <c r="C17" s="15" t="s">
        <v>56</v>
      </c>
      <c r="D17" s="17">
        <v>1</v>
      </c>
      <c r="E17" s="15">
        <v>1</v>
      </c>
    </row>
    <row r="18" spans="1:5" ht="15" customHeight="1" x14ac:dyDescent="0.25">
      <c r="A18" s="14" t="s">
        <v>67</v>
      </c>
      <c r="B18" s="15" t="s">
        <v>68</v>
      </c>
      <c r="C18" s="15" t="s">
        <v>57</v>
      </c>
      <c r="D18" s="17">
        <v>1.4999999999999999E-2</v>
      </c>
      <c r="E18" s="15">
        <v>1.5</v>
      </c>
    </row>
    <row r="19" spans="1:5" ht="13.5" customHeight="1" x14ac:dyDescent="0.25">
      <c r="A19" s="14" t="s">
        <v>63</v>
      </c>
      <c r="B19" s="15" t="s">
        <v>53</v>
      </c>
      <c r="C19" s="16">
        <v>0.01</v>
      </c>
      <c r="D19" s="15">
        <v>0.2</v>
      </c>
      <c r="E19" s="15">
        <f>(0.2*1%)</f>
        <v>2E-3</v>
      </c>
    </row>
    <row r="20" spans="1:5" ht="15" customHeight="1" x14ac:dyDescent="0.25">
      <c r="A20" s="14" t="s">
        <v>64</v>
      </c>
      <c r="B20" s="15" t="s">
        <v>9</v>
      </c>
      <c r="C20" s="16">
        <v>0.01</v>
      </c>
      <c r="D20" s="15">
        <v>-0.35</v>
      </c>
      <c r="E20" s="15">
        <f>(-0.35*1%)</f>
        <v>-3.4999999999999996E-3</v>
      </c>
    </row>
    <row r="21" spans="1:5" ht="15" customHeight="1" x14ac:dyDescent="0.25"/>
    <row r="23" spans="1:5" x14ac:dyDescent="0.25">
      <c r="A23" s="13" t="s">
        <v>10</v>
      </c>
    </row>
    <row r="24" spans="1:5" ht="20.25" customHeight="1" x14ac:dyDescent="0.25">
      <c r="A24" s="10" t="s">
        <v>42</v>
      </c>
      <c r="B24" s="10" t="s">
        <v>43</v>
      </c>
      <c r="C24" s="10" t="s">
        <v>45</v>
      </c>
      <c r="D24" s="10" t="s">
        <v>60</v>
      </c>
      <c r="E24" s="10" t="s">
        <v>80</v>
      </c>
    </row>
    <row r="25" spans="1:5" x14ac:dyDescent="0.25">
      <c r="A25" s="14" t="s">
        <v>72</v>
      </c>
      <c r="B25" s="15" t="s">
        <v>35</v>
      </c>
      <c r="C25" s="15" t="s">
        <v>94</v>
      </c>
      <c r="D25" s="15">
        <v>-0.3</v>
      </c>
      <c r="E25" s="15">
        <f>-0.3*1</f>
        <v>-0.3</v>
      </c>
    </row>
    <row r="26" spans="1:5" x14ac:dyDescent="0.25">
      <c r="A26" s="14" t="s">
        <v>73</v>
      </c>
      <c r="B26" s="15" t="s">
        <v>74</v>
      </c>
      <c r="C26" s="16">
        <v>0.01</v>
      </c>
      <c r="D26" s="15">
        <v>-0.2</v>
      </c>
      <c r="E26" s="15">
        <f>-0.2*1%</f>
        <v>-2E-3</v>
      </c>
    </row>
    <row r="27" spans="1:5" x14ac:dyDescent="0.25">
      <c r="A27" s="14" t="s">
        <v>75</v>
      </c>
      <c r="B27" s="15" t="s">
        <v>9</v>
      </c>
      <c r="C27" s="16">
        <v>0.01</v>
      </c>
      <c r="D27" s="15">
        <v>-0.15</v>
      </c>
      <c r="E27" s="15">
        <f>-0.15*1%</f>
        <v>-1.5E-3</v>
      </c>
    </row>
    <row r="28" spans="1:5" ht="15.75" customHeight="1" x14ac:dyDescent="0.25">
      <c r="A28" s="14" t="s">
        <v>76</v>
      </c>
      <c r="B28" s="15" t="s">
        <v>53</v>
      </c>
      <c r="C28" s="15" t="s">
        <v>65</v>
      </c>
      <c r="D28" s="17">
        <v>0.1</v>
      </c>
      <c r="E28" s="15">
        <v>0.1</v>
      </c>
    </row>
    <row r="29" spans="1:5" ht="15" customHeight="1" x14ac:dyDescent="0.25">
      <c r="A29" s="14" t="s">
        <v>77</v>
      </c>
      <c r="B29" s="15" t="s">
        <v>53</v>
      </c>
      <c r="C29" s="15" t="s">
        <v>65</v>
      </c>
      <c r="D29" s="17">
        <v>0.25</v>
      </c>
      <c r="E29" s="15">
        <v>0.25</v>
      </c>
    </row>
    <row r="30" spans="1:5" x14ac:dyDescent="0.25">
      <c r="A30" s="14" t="s">
        <v>78</v>
      </c>
      <c r="B30" s="15" t="s">
        <v>79</v>
      </c>
      <c r="C30" s="15" t="s">
        <v>95</v>
      </c>
      <c r="D30" s="17">
        <v>0.05</v>
      </c>
      <c r="E30" s="15">
        <v>0.05</v>
      </c>
    </row>
    <row r="31" spans="1:5" ht="16.5" customHeight="1" x14ac:dyDescent="0.25">
      <c r="A31" s="14"/>
      <c r="B31" s="15"/>
      <c r="C31" s="15"/>
      <c r="D31" s="15"/>
      <c r="E31" s="18"/>
    </row>
    <row r="32" spans="1:5" x14ac:dyDescent="0.25">
      <c r="A32" s="20" t="s">
        <v>11</v>
      </c>
    </row>
    <row r="33" spans="1:5" ht="30" x14ac:dyDescent="0.25">
      <c r="A33" s="10" t="s">
        <v>42</v>
      </c>
      <c r="B33" s="10" t="s">
        <v>43</v>
      </c>
      <c r="C33" s="10" t="s">
        <v>45</v>
      </c>
      <c r="D33" s="10" t="s">
        <v>60</v>
      </c>
      <c r="E33" s="10" t="s">
        <v>80</v>
      </c>
    </row>
    <row r="34" spans="1:5" x14ac:dyDescent="0.25">
      <c r="A34" s="11" t="s">
        <v>81</v>
      </c>
      <c r="B34" s="9" t="s">
        <v>9</v>
      </c>
      <c r="C34" s="12">
        <v>0.01</v>
      </c>
      <c r="D34" s="15">
        <v>0.3</v>
      </c>
      <c r="E34" s="15">
        <f>(0.3*1%)</f>
        <v>3.0000000000000001E-3</v>
      </c>
    </row>
    <row r="35" spans="1:5" x14ac:dyDescent="0.25">
      <c r="A35" s="11" t="s">
        <v>82</v>
      </c>
      <c r="B35" s="9" t="s">
        <v>9</v>
      </c>
      <c r="C35" s="12">
        <v>0.01</v>
      </c>
      <c r="D35" s="15">
        <v>0.25</v>
      </c>
      <c r="E35" s="15">
        <f>(0.25*1%)</f>
        <v>2.5000000000000001E-3</v>
      </c>
    </row>
    <row r="36" spans="1:5" x14ac:dyDescent="0.25">
      <c r="A36" s="11" t="s">
        <v>83</v>
      </c>
      <c r="B36" s="9" t="s">
        <v>9</v>
      </c>
      <c r="C36" s="12">
        <v>0.01</v>
      </c>
      <c r="D36" s="15">
        <v>0.2</v>
      </c>
      <c r="E36" s="15">
        <f>(0.2*1%)</f>
        <v>2E-3</v>
      </c>
    </row>
    <row r="37" spans="1:5" x14ac:dyDescent="0.25">
      <c r="A37" s="11" t="s">
        <v>84</v>
      </c>
      <c r="B37" s="9" t="s">
        <v>96</v>
      </c>
      <c r="C37" s="12">
        <v>0.01</v>
      </c>
      <c r="D37" s="15">
        <v>-0.15</v>
      </c>
      <c r="E37" s="15">
        <f>(-0.15*1%)</f>
        <v>-1.5E-3</v>
      </c>
    </row>
    <row r="38" spans="1:5" x14ac:dyDescent="0.25">
      <c r="A38" s="11" t="s">
        <v>85</v>
      </c>
      <c r="B38" s="9" t="s">
        <v>53</v>
      </c>
      <c r="C38" s="9" t="s">
        <v>65</v>
      </c>
      <c r="D38" s="17">
        <v>0.1</v>
      </c>
      <c r="E38" s="15">
        <v>0.1</v>
      </c>
    </row>
    <row r="40" spans="1:5" x14ac:dyDescent="0.25">
      <c r="A40" s="19" t="s">
        <v>34</v>
      </c>
    </row>
    <row r="41" spans="1:5" ht="30" x14ac:dyDescent="0.25">
      <c r="A41" s="10" t="s">
        <v>42</v>
      </c>
      <c r="B41" s="10" t="s">
        <v>43</v>
      </c>
      <c r="C41" s="10" t="s">
        <v>45</v>
      </c>
      <c r="D41" s="10" t="s">
        <v>60</v>
      </c>
      <c r="E41" s="10" t="s">
        <v>86</v>
      </c>
    </row>
    <row r="42" spans="1:5" x14ac:dyDescent="0.25">
      <c r="A42" s="11" t="s">
        <v>87</v>
      </c>
      <c r="B42" s="11" t="s">
        <v>69</v>
      </c>
      <c r="C42" s="9" t="s">
        <v>56</v>
      </c>
      <c r="D42" s="17">
        <v>0.3</v>
      </c>
      <c r="E42" s="15">
        <v>0.3</v>
      </c>
    </row>
    <row r="43" spans="1:5" x14ac:dyDescent="0.25">
      <c r="A43" s="11" t="s">
        <v>88</v>
      </c>
      <c r="B43" s="11" t="s">
        <v>7</v>
      </c>
      <c r="C43" s="9" t="s">
        <v>95</v>
      </c>
      <c r="D43" s="17">
        <v>0.2</v>
      </c>
      <c r="E43" s="15">
        <f>(0.2*1)</f>
        <v>0.2</v>
      </c>
    </row>
    <row r="44" spans="1:5" x14ac:dyDescent="0.25">
      <c r="A44" s="11" t="s">
        <v>89</v>
      </c>
      <c r="B44" s="11" t="s">
        <v>69</v>
      </c>
      <c r="C44" s="9" t="s">
        <v>58</v>
      </c>
      <c r="D44" s="15">
        <v>0.25</v>
      </c>
      <c r="E44" s="15">
        <v>0.25</v>
      </c>
    </row>
    <row r="45" spans="1:5" x14ac:dyDescent="0.25">
      <c r="A45" s="11" t="s">
        <v>90</v>
      </c>
      <c r="B45" s="11" t="s">
        <v>9</v>
      </c>
      <c r="C45" s="12">
        <v>0.01</v>
      </c>
      <c r="D45" s="15">
        <v>-0.2</v>
      </c>
      <c r="E45" s="15">
        <f>(-0.2*1%)</f>
        <v>-2E-3</v>
      </c>
    </row>
    <row r="46" spans="1:5" x14ac:dyDescent="0.25">
      <c r="A46" s="11" t="s">
        <v>91</v>
      </c>
      <c r="B46" s="11" t="s">
        <v>92</v>
      </c>
      <c r="C46" s="9" t="s">
        <v>93</v>
      </c>
      <c r="D46" s="15">
        <v>-0.1</v>
      </c>
      <c r="E46" s="15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Parent</vt:lpstr>
      <vt:lpstr>Childs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Zubair Akhtar</cp:lastModifiedBy>
  <dcterms:created xsi:type="dcterms:W3CDTF">2026-01-14T08:00:52Z</dcterms:created>
  <dcterms:modified xsi:type="dcterms:W3CDTF">2026-01-17T10:36:55Z</dcterms:modified>
</cp:coreProperties>
</file>