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Zubair Akhtar\Downloads\"/>
    </mc:Choice>
  </mc:AlternateContent>
  <xr:revisionPtr revIDLastSave="0" documentId="13_ncr:1_{44BF0587-AB45-4F20-92E3-94034BABDD95}" xr6:coauthVersionLast="47" xr6:coauthVersionMax="47" xr10:uidLastSave="{00000000-0000-0000-0000-000000000000}"/>
  <bookViews>
    <workbookView xWindow="-120" yWindow="-120" windowWidth="20730" windowHeight="11040" firstSheet="1" activeTab="2" xr2:uid="{BB171980-686B-4694-B20E-B4917FD2D9F8}"/>
  </bookViews>
  <sheets>
    <sheet name="Parent Variable" sheetId="2" r:id="rId1"/>
    <sheet name="parent" sheetId="3" r:id="rId2"/>
    <sheet name="childs" sheetId="4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2" l="1"/>
  <c r="D17" i="2"/>
  <c r="D16" i="2"/>
  <c r="D14" i="2"/>
  <c r="D13" i="2"/>
  <c r="D12" i="2"/>
  <c r="B16" i="2"/>
  <c r="B14" i="2"/>
  <c r="B13" i="2"/>
  <c r="B17" i="2"/>
  <c r="B15" i="2"/>
  <c r="B12" i="2"/>
  <c r="E8" i="2"/>
  <c r="D8" i="2"/>
  <c r="E7" i="2"/>
  <c r="D7" i="2"/>
  <c r="D6" i="2"/>
  <c r="E5" i="2"/>
  <c r="D5" i="2"/>
  <c r="E4" i="2"/>
  <c r="D4" i="2"/>
  <c r="E3" i="2"/>
  <c r="D3" i="2"/>
</calcChain>
</file>

<file path=xl/sharedStrings.xml><?xml version="1.0" encoding="utf-8"?>
<sst xmlns="http://schemas.openxmlformats.org/spreadsheetml/2006/main" count="462" uniqueCount="183">
  <si>
    <t>Local Market</t>
  </si>
  <si>
    <t>Variable</t>
  </si>
  <si>
    <t>Assumed Increments</t>
  </si>
  <si>
    <t>Unit</t>
  </si>
  <si>
    <t>% change in Cotton</t>
  </si>
  <si>
    <t>% change in Polyester</t>
  </si>
  <si>
    <t>% change in Viscos</t>
  </si>
  <si>
    <t>Electricity Price</t>
  </si>
  <si>
    <t>1 pkr price increment(3.33%)</t>
  </si>
  <si>
    <t>Per Unit</t>
  </si>
  <si>
    <t>Gas Price</t>
  </si>
  <si>
    <t>1 pkr price increment(0.08%)</t>
  </si>
  <si>
    <t>PKR/MMBTU</t>
  </si>
  <si>
    <t>Interest Rate</t>
  </si>
  <si>
    <t>1% increment(9.52%)</t>
  </si>
  <si>
    <t>%</t>
  </si>
  <si>
    <t>Local Cotton Production</t>
  </si>
  <si>
    <t>1 pkr increment(11%)</t>
  </si>
  <si>
    <t>maund</t>
  </si>
  <si>
    <t>Local Demand Index</t>
  </si>
  <si>
    <t>1 pkr increment(6.6%)</t>
  </si>
  <si>
    <t>Govt Energy Policy</t>
  </si>
  <si>
    <t>+1 month delay</t>
  </si>
  <si>
    <t>Months</t>
  </si>
  <si>
    <t>International Market</t>
  </si>
  <si>
    <t>Current Value</t>
  </si>
  <si>
    <t>ICE Cotton Futures</t>
  </si>
  <si>
    <t xml:space="preserve"> US cents/lb</t>
  </si>
  <si>
    <t>USD Index</t>
  </si>
  <si>
    <t>Index</t>
  </si>
  <si>
    <t>Crude Oil Price</t>
  </si>
  <si>
    <t>USD/barrel</t>
  </si>
  <si>
    <t>China Demand Index</t>
  </si>
  <si>
    <t>M Bales</t>
  </si>
  <si>
    <t>Vietnam Demand Index</t>
  </si>
  <si>
    <t>Global Supply Index</t>
  </si>
  <si>
    <t>International Market Prodcution</t>
  </si>
  <si>
    <t>International Market Demand</t>
  </si>
  <si>
    <t>Major Countires Inhouse Production</t>
  </si>
  <si>
    <t>Major Countires Inhouse Consumption</t>
  </si>
  <si>
    <t>International Market Consumption</t>
  </si>
  <si>
    <t>Geopolitics and Trade Policy(Tariffs &amp; Sanction)</t>
  </si>
  <si>
    <t>Currency Fluctuations</t>
  </si>
  <si>
    <t>Weather and Climate Patterns</t>
  </si>
  <si>
    <t>Global Inflation</t>
  </si>
  <si>
    <t>Fast Fashion Trends</t>
  </si>
  <si>
    <t>Industry Growth</t>
  </si>
  <si>
    <t>Population(annual consumption rate)</t>
  </si>
  <si>
    <t>Natural Disaster</t>
  </si>
  <si>
    <t>maund: 16000</t>
  </si>
  <si>
    <t>mmbtu: 3961.26</t>
  </si>
  <si>
    <t>US Cotton Production</t>
  </si>
  <si>
    <t>Indian Cotton Production</t>
  </si>
  <si>
    <t>Brazil Cotton Production</t>
  </si>
  <si>
    <t>Turkey Cotton Production</t>
  </si>
  <si>
    <t>China Cotton Production</t>
  </si>
  <si>
    <t>US Fed Funds Rate</t>
  </si>
  <si>
    <t>US Inflation Rate</t>
  </si>
  <si>
    <t>ECB Interest Rate</t>
  </si>
  <si>
    <t>OPEC Oil Production</t>
  </si>
  <si>
    <t>M Barres/Day</t>
  </si>
  <si>
    <t>US Oil Production</t>
  </si>
  <si>
    <t>Global Oil Demand</t>
  </si>
  <si>
    <t>China GDP Growth</t>
  </si>
  <si>
    <t>China Textile Exports</t>
  </si>
  <si>
    <t>B USD</t>
  </si>
  <si>
    <t>China Consumer Spending Growth</t>
  </si>
  <si>
    <t>Vietnam GDP Growth</t>
  </si>
  <si>
    <t>Vietnam Textile Exports</t>
  </si>
  <si>
    <t>US Cotton Exports</t>
  </si>
  <si>
    <t>International Market Production</t>
  </si>
  <si>
    <t>Million T</t>
  </si>
  <si>
    <t>Global Cotton output</t>
  </si>
  <si>
    <t>Global Polyester Output</t>
  </si>
  <si>
    <t>Global Viscose (MMCF) Output</t>
  </si>
  <si>
    <t>Global Textile Growth</t>
  </si>
  <si>
    <t>Global Cotton Consumption</t>
  </si>
  <si>
    <t>MMF Consumption</t>
  </si>
  <si>
    <t>Synthetic Fiber demand</t>
  </si>
  <si>
    <t>Apparel Textile Output</t>
  </si>
  <si>
    <t>Major Countries Inhouse Production</t>
  </si>
  <si>
    <t>India Cotton Production</t>
  </si>
  <si>
    <t>US Cotton Prod</t>
  </si>
  <si>
    <t>Major Countries Inhouse Consumption</t>
  </si>
  <si>
    <t>China Cotton Consumption</t>
  </si>
  <si>
    <t>Bangladesh Cotton Consumption</t>
  </si>
  <si>
    <t>Vietnam Cotton Consumption</t>
  </si>
  <si>
    <t>Geopolitics &amp; Trade Policy</t>
  </si>
  <si>
    <t>Tarriffs on Cotton Imports</t>
  </si>
  <si>
    <t>% duty</t>
  </si>
  <si>
    <t>WTO Tariff average on textiles</t>
  </si>
  <si>
    <t>USD Index Volatility</t>
  </si>
  <si>
    <t>EUR/USD Change</t>
  </si>
  <si>
    <t>Yuan FX Variation</t>
  </si>
  <si>
    <t>Weather &amp; Climate Patterns</t>
  </si>
  <si>
    <t>Drought Index (Brazil/India)</t>
  </si>
  <si>
    <t>Hurricane landfalls affecting Crops</t>
  </si>
  <si>
    <t>Global CPI Inflation</t>
  </si>
  <si>
    <t>Producer Price Index (Textile)</t>
  </si>
  <si>
    <t>Global Fast Fashion Shipments</t>
  </si>
  <si>
    <t>Million pcs/yr</t>
  </si>
  <si>
    <t>E-Commerce Apparel Growth</t>
  </si>
  <si>
    <t>Global Textile Output</t>
  </si>
  <si>
    <t>CAGR Synthetic Fibers</t>
  </si>
  <si>
    <t>CAGR Viscose Fibres</t>
  </si>
  <si>
    <t>Population (Annual Consumption Rate)</t>
  </si>
  <si>
    <t>Global Population Growth</t>
  </si>
  <si>
    <t>Urbanization Rate</t>
  </si>
  <si>
    <t>Major Drought Years</t>
  </si>
  <si>
    <t>events/decade</t>
  </si>
  <si>
    <t>Storm/Cuclone Impacts</t>
  </si>
  <si>
    <t>Energy Price Inflation</t>
  </si>
  <si>
    <t>events/yr</t>
  </si>
  <si>
    <t>Flood Risk Areas</t>
  </si>
  <si>
    <t xml:space="preserve"> M Tonnes</t>
  </si>
  <si>
    <t>M Tonnes</t>
  </si>
  <si>
    <t>Billion USD</t>
  </si>
  <si>
    <t>Agricultural Land Loss</t>
  </si>
  <si>
    <t>%area/year</t>
  </si>
  <si>
    <t>Moonsoon Variability</t>
  </si>
  <si>
    <t>Per Capita Income Growth</t>
  </si>
  <si>
    <t>Clothing Consumption Growth</t>
  </si>
  <si>
    <t>Annual Market Growth Rate</t>
  </si>
  <si>
    <t>China Polyester Consumption</t>
  </si>
  <si>
    <t>India Polyester Consumption</t>
  </si>
  <si>
    <t>Vietnam Polyester Consumption</t>
  </si>
  <si>
    <t>China Viscose Consumption</t>
  </si>
  <si>
    <t>India Viscose Consumption</t>
  </si>
  <si>
    <t>Vietnam Viscose Consumption</t>
  </si>
  <si>
    <t xml:space="preserve">Freight &amp; Logistics Cost Index  </t>
  </si>
  <si>
    <t>index points</t>
  </si>
  <si>
    <t>Wood Pulp Price Index (Dissolving Pulp)</t>
  </si>
  <si>
    <t>index</t>
  </si>
  <si>
    <t>Ocean Freight Rates (Asia → North America)</t>
  </si>
  <si>
    <t>USD per 40′ container</t>
  </si>
  <si>
    <t>Ocean Freight Rates (Asia → Europe)</t>
  </si>
  <si>
    <t>Fuel / Bunker Price</t>
  </si>
  <si>
    <t>578.5/tonne</t>
  </si>
  <si>
    <t>USD per MT</t>
  </si>
  <si>
    <t>Port Congestion &amp; Handling Fees</t>
  </si>
  <si>
    <t>$275+</t>
  </si>
  <si>
    <t>USD per container</t>
  </si>
  <si>
    <t>Softwood Pulp Price Index</t>
  </si>
  <si>
    <t>$678/tonne (benchmark proxy)</t>
  </si>
  <si>
    <t>USD per tonne</t>
  </si>
  <si>
    <t>Hardwood Pulp Price Index</t>
  </si>
  <si>
    <t>¥4,750 / tonne</t>
  </si>
  <si>
    <t>RMB per tonne</t>
  </si>
  <si>
    <t>Energy / Electricity Costs in Pulp Mills</t>
  </si>
  <si>
    <t>PPI</t>
  </si>
  <si>
    <t>Chemical Additives / Processing Cost Index</t>
  </si>
  <si>
    <t>CEPCI</t>
  </si>
  <si>
    <t>China Textile Export</t>
  </si>
  <si>
    <t>Vietnam Textile Export</t>
  </si>
  <si>
    <t>Global Cotton Output</t>
  </si>
  <si>
    <t>Net Exports Growth</t>
  </si>
  <si>
    <t>Fixed Asset Investment Growth</t>
  </si>
  <si>
    <t>Industrial Production Growth</t>
  </si>
  <si>
    <t>Exchange Rate (CNY/USD)</t>
  </si>
  <si>
    <t>Global Importer GDP Growth</t>
  </si>
  <si>
    <t>Input Costs Index</t>
  </si>
  <si>
    <t>Household Income Growth</t>
  </si>
  <si>
    <t>Unemployment Rate</t>
  </si>
  <si>
    <t>Consumer Confidence Index</t>
  </si>
  <si>
    <t>Labor Costs</t>
  </si>
  <si>
    <t>Global Apparel Demand Growth</t>
  </si>
  <si>
    <t>FDI Infows</t>
  </si>
  <si>
    <t>Export Growth</t>
  </si>
  <si>
    <t>Ratio</t>
  </si>
  <si>
    <t>USD</t>
  </si>
  <si>
    <t>USD Bilion</t>
  </si>
  <si>
    <t>Global Cotton Production</t>
  </si>
  <si>
    <t>Global Fiber Production Growth</t>
  </si>
  <si>
    <t>Recycled Fibre Growth</t>
  </si>
  <si>
    <t>% annual Growth</t>
  </si>
  <si>
    <t>Global Cotton Mill Use/Consumption</t>
  </si>
  <si>
    <t>Cotton in Apparel Use</t>
  </si>
  <si>
    <t xml:space="preserve">% </t>
  </si>
  <si>
    <t>Global Apparel Output</t>
  </si>
  <si>
    <t>$ Trillion</t>
  </si>
  <si>
    <t>Synthetic Share in Apparel</t>
  </si>
  <si>
    <t>Global Apparel Fiber Volume</t>
  </si>
  <si>
    <t>International varibale(childs)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</si>
</sst>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  <xf numFmtId="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CC3D-7F16-4E67-A158-BB5CF8F15903}">
  <dimension ref="A1:F38"/>
  <sheetViews>
    <sheetView topLeftCell="A4" zoomScale="69" workbookViewId="0">
      <selection activeCell="B25" sqref="B25"/>
    </sheetView>
  </sheetViews>
  <sheetFormatPr defaultRowHeight="15" x14ac:dyDescent="0.25"/>
  <cols>
    <col min="1" max="1" width="40.5703125" customWidth="1"/>
    <col min="2" max="2" width="88" customWidth="1"/>
    <col min="3" max="3" width="18.28515625" customWidth="1"/>
    <col min="4" max="4" width="16.42578125" customWidth="1"/>
    <col min="5" max="5" width="29.28515625" bestFit="1" customWidth="1"/>
    <col min="6" max="6" width="19.28515625" bestFit="1" customWidth="1"/>
    <col min="7" max="7" width="16.7109375" bestFit="1" customWidth="1"/>
  </cols>
  <sheetData>
    <row r="1" spans="1:6" x14ac:dyDescent="0.25">
      <c r="A1" s="3" t="s">
        <v>0</v>
      </c>
      <c r="B1" s="1"/>
      <c r="C1" s="1"/>
      <c r="D1" s="1"/>
    </row>
    <row r="2" spans="1:6" x14ac:dyDescent="0.25">
      <c r="A2" s="4" t="s">
        <v>1</v>
      </c>
      <c r="B2" s="5" t="s">
        <v>2</v>
      </c>
      <c r="C2" s="5" t="s">
        <v>3</v>
      </c>
      <c r="D2" s="5" t="s">
        <v>4</v>
      </c>
      <c r="E2" s="7" t="s">
        <v>5</v>
      </c>
      <c r="F2" s="7" t="s">
        <v>6</v>
      </c>
    </row>
    <row r="3" spans="1:6" x14ac:dyDescent="0.25">
      <c r="A3" s="6" t="s">
        <v>7</v>
      </c>
      <c r="B3" s="1" t="s">
        <v>8</v>
      </c>
      <c r="C3" s="1" t="s">
        <v>9</v>
      </c>
      <c r="D3" s="1">
        <f>(3.33*0.31)</f>
        <v>1.0323</v>
      </c>
      <c r="E3">
        <f>(0.4*3.33)</f>
        <v>1.3320000000000001</v>
      </c>
    </row>
    <row r="4" spans="1:6" x14ac:dyDescent="0.25">
      <c r="A4" s="6" t="s">
        <v>10</v>
      </c>
      <c r="B4" s="1" t="s">
        <v>11</v>
      </c>
      <c r="C4" s="1" t="s">
        <v>12</v>
      </c>
      <c r="D4" s="1">
        <f>(0.4*0.02524)</f>
        <v>1.0096000000000001E-2</v>
      </c>
      <c r="E4">
        <f>(0.55*0.02524)</f>
        <v>1.3882E-2</v>
      </c>
    </row>
    <row r="5" spans="1:6" x14ac:dyDescent="0.25">
      <c r="A5" s="6" t="s">
        <v>13</v>
      </c>
      <c r="B5" s="2" t="s">
        <v>14</v>
      </c>
      <c r="C5" s="1" t="s">
        <v>15</v>
      </c>
      <c r="D5" s="1">
        <f>(-0.2*1)</f>
        <v>-0.2</v>
      </c>
      <c r="E5">
        <f>(9.52*(-0.15))</f>
        <v>-1.4279999999999999</v>
      </c>
    </row>
    <row r="6" spans="1:6" x14ac:dyDescent="0.25">
      <c r="A6" s="6" t="s">
        <v>16</v>
      </c>
      <c r="B6" s="1" t="s">
        <v>17</v>
      </c>
      <c r="C6" s="1" t="s">
        <v>18</v>
      </c>
      <c r="D6" s="1">
        <f>(11.11*-0.35)</f>
        <v>-3.8884999999999996</v>
      </c>
      <c r="E6">
        <v>0</v>
      </c>
    </row>
    <row r="7" spans="1:6" x14ac:dyDescent="0.25">
      <c r="A7" s="6" t="s">
        <v>19</v>
      </c>
      <c r="B7" s="1" t="s">
        <v>20</v>
      </c>
      <c r="C7" s="1" t="s">
        <v>18</v>
      </c>
      <c r="D7" s="1">
        <f>(0.45*6.6)</f>
        <v>2.9699999999999998</v>
      </c>
      <c r="E7">
        <f>(6.6*-0.2)</f>
        <v>-1.32</v>
      </c>
    </row>
    <row r="8" spans="1:6" x14ac:dyDescent="0.25">
      <c r="A8" t="s">
        <v>21</v>
      </c>
      <c r="B8" s="1" t="s">
        <v>22</v>
      </c>
      <c r="C8" s="1" t="s">
        <v>23</v>
      </c>
      <c r="D8" s="1">
        <f>(10*(-0.1))</f>
        <v>-1</v>
      </c>
      <c r="E8">
        <f>(-0.12*-10)</f>
        <v>1.2</v>
      </c>
    </row>
    <row r="9" spans="1:6" ht="18" customHeight="1" x14ac:dyDescent="0.25">
      <c r="B9" s="1"/>
    </row>
    <row r="10" spans="1:6" x14ac:dyDescent="0.25">
      <c r="A10" s="3" t="s">
        <v>24</v>
      </c>
      <c r="B10" s="1"/>
      <c r="C10" s="1"/>
      <c r="D10" s="1"/>
      <c r="F10" s="9"/>
    </row>
    <row r="11" spans="1:6" x14ac:dyDescent="0.25">
      <c r="A11" s="4" t="s">
        <v>1</v>
      </c>
      <c r="B11" s="5" t="s">
        <v>25</v>
      </c>
      <c r="C11" s="5" t="s">
        <v>3</v>
      </c>
      <c r="D11" s="9" t="s">
        <v>4</v>
      </c>
      <c r="E11" s="9" t="s">
        <v>5</v>
      </c>
      <c r="F11" s="10" t="s">
        <v>6</v>
      </c>
    </row>
    <row r="12" spans="1:6" x14ac:dyDescent="0.25">
      <c r="A12" s="6" t="s">
        <v>26</v>
      </c>
      <c r="B12" s="8">
        <f>(1/65)</f>
        <v>1.5384615384615385E-2</v>
      </c>
      <c r="C12" s="1" t="s">
        <v>27</v>
      </c>
      <c r="D12" s="1">
        <f>0.3</f>
        <v>0.3</v>
      </c>
      <c r="E12" s="1">
        <v>0.4</v>
      </c>
      <c r="F12" s="1">
        <v>0.45</v>
      </c>
    </row>
    <row r="13" spans="1:6" x14ac:dyDescent="0.25">
      <c r="A13" s="6" t="s">
        <v>28</v>
      </c>
      <c r="B13" s="1">
        <f>99.32/97.2</f>
        <v>1.0218106995884773</v>
      </c>
      <c r="C13" s="1" t="s">
        <v>29</v>
      </c>
      <c r="D13" s="1">
        <f>-0.13</f>
        <v>-0.13</v>
      </c>
      <c r="E13" s="1">
        <f>-0.5</f>
        <v>-0.5</v>
      </c>
      <c r="F13" s="1">
        <v>-0.2</v>
      </c>
    </row>
    <row r="14" spans="1:6" x14ac:dyDescent="0.25">
      <c r="A14" s="6" t="s">
        <v>30</v>
      </c>
      <c r="B14" s="1">
        <f>59.1/55.4</f>
        <v>1.0667870036101084</v>
      </c>
      <c r="C14" s="1" t="s">
        <v>31</v>
      </c>
      <c r="D14" s="1">
        <f>0.14</f>
        <v>0.14000000000000001</v>
      </c>
      <c r="E14" s="1">
        <v>0.5</v>
      </c>
      <c r="F14" s="1">
        <v>0.25</v>
      </c>
    </row>
    <row r="15" spans="1:6" x14ac:dyDescent="0.25">
      <c r="A15" s="6" t="s">
        <v>32</v>
      </c>
      <c r="B15" s="1">
        <f>5.4/8.3</f>
        <v>0.6506024096385542</v>
      </c>
      <c r="C15" s="1" t="s">
        <v>33</v>
      </c>
      <c r="D15" s="1">
        <v>0.3</v>
      </c>
      <c r="E15" s="1">
        <v>0.5</v>
      </c>
      <c r="F15" s="1">
        <v>0.5</v>
      </c>
    </row>
    <row r="16" spans="1:6" x14ac:dyDescent="0.25">
      <c r="A16" s="6" t="s">
        <v>34</v>
      </c>
      <c r="B16" s="1">
        <f>7.4/7</f>
        <v>1.0571428571428572</v>
      </c>
      <c r="C16" s="1" t="s">
        <v>33</v>
      </c>
      <c r="D16" s="1">
        <f>0.03</f>
        <v>0.03</v>
      </c>
      <c r="E16" s="1">
        <v>0.15</v>
      </c>
      <c r="F16" s="1">
        <v>0.1</v>
      </c>
    </row>
    <row r="17" spans="1:6" x14ac:dyDescent="0.25">
      <c r="A17" s="6" t="s">
        <v>35</v>
      </c>
      <c r="B17" s="1">
        <f>74.5/66.5</f>
        <v>1.1203007518796992</v>
      </c>
      <c r="C17" s="1" t="s">
        <v>33</v>
      </c>
      <c r="D17" s="1">
        <f>-0.5</f>
        <v>-0.5</v>
      </c>
      <c r="E17" s="1">
        <v>-0.25</v>
      </c>
      <c r="F17" s="1">
        <v>-0.25</v>
      </c>
    </row>
    <row r="18" spans="1:6" x14ac:dyDescent="0.25">
      <c r="A18" s="6" t="s">
        <v>36</v>
      </c>
      <c r="B18" s="1">
        <v>132</v>
      </c>
      <c r="C18" s="1" t="s">
        <v>114</v>
      </c>
      <c r="D18" s="1">
        <v>-0.6</v>
      </c>
      <c r="E18" s="1">
        <v>-0.3</v>
      </c>
      <c r="F18" s="1">
        <v>-0.35</v>
      </c>
    </row>
    <row r="19" spans="1:6" x14ac:dyDescent="0.25">
      <c r="A19" s="6" t="s">
        <v>37</v>
      </c>
      <c r="B19" s="1">
        <v>122</v>
      </c>
      <c r="C19" s="1" t="s">
        <v>114</v>
      </c>
      <c r="D19" s="1">
        <v>0.7</v>
      </c>
      <c r="E19" s="1">
        <v>0.6</v>
      </c>
      <c r="F19" s="1">
        <v>0.55000000000000004</v>
      </c>
    </row>
    <row r="20" spans="1:6" x14ac:dyDescent="0.25">
      <c r="A20" s="6" t="s">
        <v>38</v>
      </c>
      <c r="B20" s="1">
        <v>77.7</v>
      </c>
      <c r="C20" s="1" t="s">
        <v>114</v>
      </c>
      <c r="D20" s="1">
        <v>-0.45</v>
      </c>
      <c r="E20" s="1">
        <v>-0.35</v>
      </c>
      <c r="F20" s="1">
        <v>-0.3</v>
      </c>
    </row>
    <row r="21" spans="1:6" x14ac:dyDescent="0.25">
      <c r="A21" s="6" t="s">
        <v>39</v>
      </c>
      <c r="B21" s="1">
        <v>55</v>
      </c>
      <c r="C21" s="1" t="s">
        <v>114</v>
      </c>
      <c r="D21" s="1">
        <v>0.6</v>
      </c>
      <c r="E21" s="1">
        <v>0.45</v>
      </c>
      <c r="F21" s="1">
        <v>0.4</v>
      </c>
    </row>
    <row r="22" spans="1:6" x14ac:dyDescent="0.25">
      <c r="A22" s="6" t="s">
        <v>40</v>
      </c>
      <c r="B22" s="1">
        <v>132</v>
      </c>
      <c r="C22" s="1" t="s">
        <v>114</v>
      </c>
      <c r="D22" s="1">
        <v>0.65</v>
      </c>
      <c r="E22" s="1">
        <v>0.55000000000000004</v>
      </c>
      <c r="F22" s="1">
        <v>0.5</v>
      </c>
    </row>
    <row r="23" spans="1:6" x14ac:dyDescent="0.25">
      <c r="A23" s="6" t="s">
        <v>41</v>
      </c>
      <c r="B23" s="1">
        <v>12</v>
      </c>
      <c r="C23" s="1" t="s">
        <v>15</v>
      </c>
      <c r="D23" s="1">
        <v>-0.3</v>
      </c>
      <c r="E23" s="1">
        <v>-0.2</v>
      </c>
      <c r="F23" s="1">
        <v>-0.25</v>
      </c>
    </row>
    <row r="24" spans="1:6" x14ac:dyDescent="0.25">
      <c r="A24" s="6" t="s">
        <v>42</v>
      </c>
      <c r="B24" s="1">
        <v>0.5</v>
      </c>
      <c r="C24" s="1" t="s">
        <v>15</v>
      </c>
      <c r="D24" s="1">
        <v>-0.55000000000000004</v>
      </c>
      <c r="E24" s="1">
        <v>-0.4</v>
      </c>
      <c r="F24" s="1">
        <v>-0.35</v>
      </c>
    </row>
    <row r="25" spans="1:6" x14ac:dyDescent="0.25">
      <c r="A25" s="6" t="s">
        <v>43</v>
      </c>
      <c r="C25" s="1"/>
      <c r="D25" s="1">
        <v>0.8</v>
      </c>
      <c r="E25" s="1">
        <v>0.05</v>
      </c>
      <c r="F25" s="1">
        <v>0.15</v>
      </c>
    </row>
    <row r="26" spans="1:6" x14ac:dyDescent="0.25">
      <c r="A26" s="6" t="s">
        <v>44</v>
      </c>
      <c r="B26" s="1">
        <v>3.7</v>
      </c>
      <c r="C26" s="1" t="s">
        <v>15</v>
      </c>
      <c r="D26" s="1">
        <v>0.35</v>
      </c>
      <c r="E26" s="1">
        <v>0.45</v>
      </c>
      <c r="F26" s="1">
        <v>0.39</v>
      </c>
    </row>
    <row r="27" spans="1:6" x14ac:dyDescent="0.25">
      <c r="A27" s="6" t="s">
        <v>45</v>
      </c>
      <c r="B27" s="1">
        <v>150</v>
      </c>
      <c r="C27" s="1" t="s">
        <v>116</v>
      </c>
      <c r="D27" s="1">
        <v>-0.3</v>
      </c>
      <c r="E27" s="1">
        <v>0.6</v>
      </c>
      <c r="F27" s="1">
        <v>0.4</v>
      </c>
    </row>
    <row r="28" spans="1:6" x14ac:dyDescent="0.25">
      <c r="A28" s="6" t="s">
        <v>46</v>
      </c>
      <c r="B28" s="1">
        <v>5</v>
      </c>
      <c r="C28" s="1" t="s">
        <v>15</v>
      </c>
      <c r="D28" s="1">
        <v>0.5</v>
      </c>
      <c r="E28" s="1">
        <v>0.4</v>
      </c>
      <c r="F28" s="1">
        <v>0.35</v>
      </c>
    </row>
    <row r="29" spans="1:6" x14ac:dyDescent="0.25">
      <c r="A29" s="6" t="s">
        <v>47</v>
      </c>
      <c r="B29" s="1">
        <v>0.85</v>
      </c>
      <c r="C29" s="1" t="s">
        <v>15</v>
      </c>
      <c r="D29" s="1">
        <v>0.55000000000000004</v>
      </c>
      <c r="E29" s="1">
        <v>0.5</v>
      </c>
      <c r="F29" s="1">
        <v>0.45</v>
      </c>
    </row>
    <row r="30" spans="1:6" x14ac:dyDescent="0.25">
      <c r="A30" s="6" t="s">
        <v>48</v>
      </c>
      <c r="D30" s="1">
        <v>0.7</v>
      </c>
      <c r="E30" s="1">
        <v>0.1</v>
      </c>
      <c r="F30" s="1">
        <v>0.15</v>
      </c>
    </row>
    <row r="31" spans="1:6" x14ac:dyDescent="0.25">
      <c r="A31" t="s">
        <v>129</v>
      </c>
      <c r="B31" s="1">
        <v>2428</v>
      </c>
      <c r="C31" s="1" t="s">
        <v>130</v>
      </c>
      <c r="D31" s="1">
        <v>0.08</v>
      </c>
      <c r="E31" s="1">
        <v>0.08</v>
      </c>
      <c r="F31" s="1">
        <v>0.18</v>
      </c>
    </row>
    <row r="32" spans="1:6" x14ac:dyDescent="0.25">
      <c r="A32" t="s">
        <v>131</v>
      </c>
      <c r="B32" s="1">
        <v>113</v>
      </c>
      <c r="C32" s="1" t="s">
        <v>132</v>
      </c>
      <c r="D32" s="1">
        <v>0.65</v>
      </c>
      <c r="E32" s="1">
        <v>0.63</v>
      </c>
      <c r="F32" s="1">
        <v>0.34</v>
      </c>
    </row>
    <row r="37" spans="3:3" x14ac:dyDescent="0.25">
      <c r="C37" s="1" t="s">
        <v>49</v>
      </c>
    </row>
    <row r="38" spans="3:3" x14ac:dyDescent="0.25">
      <c r="C38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C756-43E0-420F-A34F-D15B40FF269A}">
  <dimension ref="A1:F130"/>
  <sheetViews>
    <sheetView topLeftCell="A22" zoomScale="91" zoomScaleNormal="110" workbookViewId="0">
      <selection activeCell="D34" sqref="D34"/>
    </sheetView>
  </sheetViews>
  <sheetFormatPr defaultRowHeight="15" x14ac:dyDescent="0.25"/>
  <cols>
    <col min="1" max="1" width="49.28515625" bestFit="1" customWidth="1"/>
    <col min="2" max="2" width="36.42578125" style="11" bestFit="1" customWidth="1"/>
    <col min="3" max="3" width="22.28515625" style="11" bestFit="1" customWidth="1"/>
    <col min="4" max="4" width="24.28515625" style="11" bestFit="1" customWidth="1"/>
    <col min="5" max="5" width="27.5703125" style="11" bestFit="1" customWidth="1"/>
    <col min="6" max="6" width="24.5703125" style="11" bestFit="1" customWidth="1"/>
  </cols>
  <sheetData>
    <row r="1" spans="1:6" x14ac:dyDescent="0.25">
      <c r="A1" s="3" t="s">
        <v>26</v>
      </c>
    </row>
    <row r="2" spans="1:6" x14ac:dyDescent="0.25">
      <c r="A2" s="4" t="s">
        <v>1</v>
      </c>
      <c r="B2" s="9" t="s">
        <v>25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 x14ac:dyDescent="0.25">
      <c r="A3" t="s">
        <v>51</v>
      </c>
      <c r="B3" s="11">
        <v>13.9</v>
      </c>
      <c r="C3" s="11" t="s">
        <v>33</v>
      </c>
      <c r="D3" s="11">
        <v>-0.3</v>
      </c>
      <c r="E3" s="11">
        <v>0.06</v>
      </c>
      <c r="F3" s="11">
        <v>0.04</v>
      </c>
    </row>
    <row r="4" spans="1:6" x14ac:dyDescent="0.25">
      <c r="A4" t="s">
        <v>52</v>
      </c>
      <c r="B4" s="11">
        <v>23.8</v>
      </c>
      <c r="C4" s="11" t="s">
        <v>33</v>
      </c>
      <c r="D4" s="11">
        <v>-0.3</v>
      </c>
      <c r="E4" s="11">
        <v>0.12</v>
      </c>
      <c r="F4" s="11">
        <v>7.0000000000000007E-2</v>
      </c>
    </row>
    <row r="5" spans="1:6" x14ac:dyDescent="0.25">
      <c r="A5" t="s">
        <v>53</v>
      </c>
      <c r="B5" s="11">
        <v>18.7</v>
      </c>
      <c r="C5" s="11" t="s">
        <v>33</v>
      </c>
      <c r="D5" s="11">
        <v>-0.3</v>
      </c>
      <c r="E5" s="11">
        <v>0.1</v>
      </c>
      <c r="F5" s="11">
        <v>0.06</v>
      </c>
    </row>
    <row r="6" spans="1:6" x14ac:dyDescent="0.25">
      <c r="A6" t="s">
        <v>54</v>
      </c>
      <c r="B6" s="11">
        <v>3.05</v>
      </c>
      <c r="C6" s="11" t="s">
        <v>33</v>
      </c>
      <c r="D6" s="11">
        <v>-0.01</v>
      </c>
      <c r="E6" s="11">
        <v>0</v>
      </c>
      <c r="F6" s="11">
        <v>0</v>
      </c>
    </row>
    <row r="7" spans="1:6" x14ac:dyDescent="0.25">
      <c r="A7" t="s">
        <v>55</v>
      </c>
      <c r="B7" s="11">
        <v>34.5</v>
      </c>
      <c r="C7" s="11" t="s">
        <v>33</v>
      </c>
      <c r="D7" s="11">
        <v>-0.1</v>
      </c>
      <c r="E7" s="11">
        <v>0.02</v>
      </c>
      <c r="F7" s="11">
        <v>0.01</v>
      </c>
    </row>
    <row r="9" spans="1:6" x14ac:dyDescent="0.25">
      <c r="A9" s="3" t="s">
        <v>28</v>
      </c>
    </row>
    <row r="10" spans="1:6" x14ac:dyDescent="0.25">
      <c r="A10" s="4" t="s">
        <v>1</v>
      </c>
      <c r="B10" s="9" t="s">
        <v>25</v>
      </c>
      <c r="C10" s="9" t="s">
        <v>3</v>
      </c>
      <c r="D10" s="9" t="s">
        <v>4</v>
      </c>
      <c r="E10" s="9" t="s">
        <v>5</v>
      </c>
      <c r="F10" s="9" t="s">
        <v>6</v>
      </c>
    </row>
    <row r="11" spans="1:6" x14ac:dyDescent="0.25">
      <c r="A11" t="s">
        <v>56</v>
      </c>
      <c r="B11" s="11">
        <v>3.64</v>
      </c>
      <c r="C11" s="11" t="s">
        <v>15</v>
      </c>
      <c r="D11" s="11">
        <v>-7.0000000000000007E-2</v>
      </c>
      <c r="E11" s="11">
        <v>-0.25</v>
      </c>
      <c r="F11" s="11">
        <v>-0.13</v>
      </c>
    </row>
    <row r="12" spans="1:6" x14ac:dyDescent="0.25">
      <c r="A12" t="s">
        <v>57</v>
      </c>
      <c r="B12" s="11">
        <v>2.7</v>
      </c>
      <c r="C12" s="11" t="s">
        <v>15</v>
      </c>
      <c r="D12" s="11">
        <v>0.04</v>
      </c>
      <c r="E12" s="11">
        <v>0.15</v>
      </c>
      <c r="F12" s="11">
        <v>0.08</v>
      </c>
    </row>
    <row r="13" spans="1:6" x14ac:dyDescent="0.25">
      <c r="A13" t="s">
        <v>58</v>
      </c>
      <c r="B13" s="11">
        <v>2</v>
      </c>
      <c r="C13" s="11" t="s">
        <v>15</v>
      </c>
      <c r="D13" s="11">
        <v>0.05</v>
      </c>
      <c r="E13" s="11">
        <v>0.2</v>
      </c>
      <c r="F13" s="11">
        <v>0.1</v>
      </c>
    </row>
    <row r="15" spans="1:6" x14ac:dyDescent="0.25">
      <c r="A15" s="3" t="s">
        <v>30</v>
      </c>
    </row>
    <row r="16" spans="1:6" x14ac:dyDescent="0.25">
      <c r="A16" s="4" t="s">
        <v>1</v>
      </c>
      <c r="B16" s="9" t="s">
        <v>25</v>
      </c>
      <c r="C16" s="9" t="s">
        <v>3</v>
      </c>
      <c r="D16" s="9" t="s">
        <v>4</v>
      </c>
      <c r="E16" s="9" t="s">
        <v>5</v>
      </c>
      <c r="F16" s="9" t="s">
        <v>6</v>
      </c>
    </row>
    <row r="17" spans="1:6" x14ac:dyDescent="0.25">
      <c r="A17" t="s">
        <v>59</v>
      </c>
      <c r="B17" s="11">
        <v>30.07</v>
      </c>
      <c r="C17" s="11" t="s">
        <v>60</v>
      </c>
      <c r="D17" s="11">
        <v>0.05</v>
      </c>
      <c r="E17" s="11">
        <v>-0.5</v>
      </c>
      <c r="F17" s="11">
        <v>-0.2</v>
      </c>
    </row>
    <row r="18" spans="1:6" x14ac:dyDescent="0.25">
      <c r="A18" t="s">
        <v>61</v>
      </c>
      <c r="B18" s="11">
        <v>13.6</v>
      </c>
      <c r="C18" s="11" t="s">
        <v>60</v>
      </c>
      <c r="D18" s="11">
        <v>0.04</v>
      </c>
      <c r="E18" s="11">
        <v>-0.45</v>
      </c>
      <c r="F18" s="11">
        <v>-0.15</v>
      </c>
    </row>
    <row r="19" spans="1:6" x14ac:dyDescent="0.25">
      <c r="A19" t="s">
        <v>62</v>
      </c>
      <c r="B19" s="11">
        <v>104.5</v>
      </c>
      <c r="C19" s="11" t="s">
        <v>60</v>
      </c>
      <c r="D19" s="11">
        <v>0.1</v>
      </c>
      <c r="E19" s="11">
        <v>0.5</v>
      </c>
      <c r="F19" s="11">
        <v>0.2</v>
      </c>
    </row>
    <row r="21" spans="1:6" x14ac:dyDescent="0.25">
      <c r="A21" s="3" t="s">
        <v>32</v>
      </c>
    </row>
    <row r="22" spans="1:6" x14ac:dyDescent="0.25">
      <c r="A22" s="4" t="s">
        <v>1</v>
      </c>
      <c r="B22" s="9" t="s">
        <v>25</v>
      </c>
      <c r="C22" s="9" t="s">
        <v>3</v>
      </c>
      <c r="D22" s="9" t="s">
        <v>4</v>
      </c>
      <c r="E22" s="9" t="s">
        <v>5</v>
      </c>
      <c r="F22" s="9" t="s">
        <v>6</v>
      </c>
    </row>
    <row r="23" spans="1:6" x14ac:dyDescent="0.25">
      <c r="A23" t="s">
        <v>63</v>
      </c>
      <c r="B23" s="11">
        <v>4.8</v>
      </c>
      <c r="C23" s="11" t="s">
        <v>15</v>
      </c>
      <c r="D23" s="11">
        <v>0.7</v>
      </c>
      <c r="E23" s="11">
        <v>0.15</v>
      </c>
      <c r="F23" s="11">
        <v>0.8</v>
      </c>
    </row>
    <row r="24" spans="1:6" x14ac:dyDescent="0.25">
      <c r="A24" t="s">
        <v>64</v>
      </c>
      <c r="B24" s="11">
        <v>287.95999999999998</v>
      </c>
      <c r="C24" s="11" t="s">
        <v>65</v>
      </c>
      <c r="D24" s="11">
        <v>0.5</v>
      </c>
      <c r="E24" s="11">
        <v>0.8</v>
      </c>
      <c r="F24" s="11">
        <v>0.6</v>
      </c>
    </row>
    <row r="25" spans="1:6" x14ac:dyDescent="0.25">
      <c r="A25" t="s">
        <v>66</v>
      </c>
      <c r="B25" s="11">
        <v>5.5</v>
      </c>
      <c r="C25" s="11" t="s">
        <v>15</v>
      </c>
      <c r="D25" s="11">
        <v>0.6</v>
      </c>
      <c r="E25" s="11">
        <v>0.9</v>
      </c>
      <c r="F25" s="11">
        <v>0.7</v>
      </c>
    </row>
    <row r="27" spans="1:6" x14ac:dyDescent="0.25">
      <c r="A27" s="3" t="s">
        <v>34</v>
      </c>
    </row>
    <row r="28" spans="1:6" x14ac:dyDescent="0.25">
      <c r="A28" s="4" t="s">
        <v>1</v>
      </c>
      <c r="B28" s="9" t="s">
        <v>25</v>
      </c>
      <c r="C28" s="9" t="s">
        <v>3</v>
      </c>
      <c r="D28" s="9" t="s">
        <v>4</v>
      </c>
      <c r="E28" s="9" t="s">
        <v>5</v>
      </c>
      <c r="F28" s="9" t="s">
        <v>6</v>
      </c>
    </row>
    <row r="29" spans="1:6" x14ac:dyDescent="0.25">
      <c r="A29" t="s">
        <v>67</v>
      </c>
      <c r="B29" s="11">
        <v>6.7</v>
      </c>
      <c r="C29" s="11" t="s">
        <v>15</v>
      </c>
      <c r="D29" s="11">
        <v>0.7</v>
      </c>
      <c r="E29" s="11">
        <v>0.5</v>
      </c>
      <c r="F29" s="11">
        <v>0.7</v>
      </c>
    </row>
    <row r="30" spans="1:6" x14ac:dyDescent="0.25">
      <c r="A30" t="s">
        <v>68</v>
      </c>
      <c r="B30" s="11">
        <v>39.6</v>
      </c>
      <c r="C30" s="11" t="s">
        <v>15</v>
      </c>
      <c r="D30" s="11">
        <v>0.5</v>
      </c>
      <c r="E30" s="11">
        <v>0.6</v>
      </c>
      <c r="F30" s="11">
        <v>0.7</v>
      </c>
    </row>
    <row r="32" spans="1:6" x14ac:dyDescent="0.25">
      <c r="A32" s="3" t="s">
        <v>35</v>
      </c>
    </row>
    <row r="33" spans="1:6" x14ac:dyDescent="0.25">
      <c r="A33" s="4" t="s">
        <v>1</v>
      </c>
      <c r="B33" s="9" t="s">
        <v>25</v>
      </c>
      <c r="C33" s="9" t="s">
        <v>3</v>
      </c>
      <c r="D33" s="9" t="s">
        <v>4</v>
      </c>
      <c r="E33" s="9" t="s">
        <v>5</v>
      </c>
      <c r="F33" s="9" t="s">
        <v>6</v>
      </c>
    </row>
    <row r="34" spans="1:6" x14ac:dyDescent="0.25">
      <c r="A34" t="s">
        <v>69</v>
      </c>
      <c r="B34" s="11">
        <v>12.2</v>
      </c>
      <c r="C34" s="11" t="s">
        <v>33</v>
      </c>
      <c r="D34" s="11">
        <v>-0.03</v>
      </c>
      <c r="E34" s="11">
        <v>-0.15</v>
      </c>
      <c r="F34" s="11">
        <v>-0.15</v>
      </c>
    </row>
    <row r="36" spans="1:6" x14ac:dyDescent="0.25">
      <c r="A36" s="3" t="s">
        <v>70</v>
      </c>
    </row>
    <row r="37" spans="1:6" x14ac:dyDescent="0.25">
      <c r="A37" s="4" t="s">
        <v>1</v>
      </c>
      <c r="B37" s="9" t="s">
        <v>25</v>
      </c>
      <c r="C37" s="9" t="s">
        <v>3</v>
      </c>
      <c r="D37" s="9" t="s">
        <v>4</v>
      </c>
      <c r="E37" s="9" t="s">
        <v>5</v>
      </c>
      <c r="F37" s="9" t="s">
        <v>6</v>
      </c>
    </row>
    <row r="38" spans="1:6" x14ac:dyDescent="0.25">
      <c r="A38" t="s">
        <v>72</v>
      </c>
      <c r="B38" s="11">
        <v>24.5</v>
      </c>
      <c r="C38" s="11" t="s">
        <v>71</v>
      </c>
      <c r="D38" s="11">
        <v>-2</v>
      </c>
      <c r="E38" s="11">
        <v>0.5</v>
      </c>
      <c r="F38" s="11">
        <v>0.3</v>
      </c>
    </row>
    <row r="39" spans="1:6" x14ac:dyDescent="0.25">
      <c r="A39" t="s">
        <v>73</v>
      </c>
      <c r="B39" s="11">
        <v>78</v>
      </c>
      <c r="C39" s="11" t="s">
        <v>71</v>
      </c>
      <c r="D39" s="11">
        <v>0.5</v>
      </c>
      <c r="E39" s="11">
        <v>-1.5</v>
      </c>
      <c r="F39" s="11">
        <v>0.1</v>
      </c>
    </row>
    <row r="40" spans="1:6" x14ac:dyDescent="0.25">
      <c r="A40" t="s">
        <v>74</v>
      </c>
      <c r="B40" s="11">
        <v>8.4</v>
      </c>
      <c r="C40" s="11" t="s">
        <v>71</v>
      </c>
      <c r="D40" s="11">
        <v>0.3</v>
      </c>
      <c r="E40" s="11">
        <v>0.1</v>
      </c>
      <c r="F40" s="11">
        <v>-2</v>
      </c>
    </row>
    <row r="41" spans="1:6" x14ac:dyDescent="0.25">
      <c r="A41" t="s">
        <v>75</v>
      </c>
      <c r="B41" s="11">
        <v>3.7</v>
      </c>
      <c r="C41" s="11" t="s">
        <v>15</v>
      </c>
      <c r="D41" s="11">
        <v>2</v>
      </c>
      <c r="E41" s="11">
        <v>1.5</v>
      </c>
      <c r="F41" s="11">
        <v>1.8</v>
      </c>
    </row>
    <row r="43" spans="1:6" x14ac:dyDescent="0.25">
      <c r="A43" s="3" t="s">
        <v>37</v>
      </c>
    </row>
    <row r="44" spans="1:6" x14ac:dyDescent="0.25">
      <c r="A44" s="4" t="s">
        <v>1</v>
      </c>
      <c r="B44" s="9" t="s">
        <v>25</v>
      </c>
      <c r="C44" s="9" t="s">
        <v>3</v>
      </c>
      <c r="D44" s="9" t="s">
        <v>4</v>
      </c>
      <c r="E44" s="9" t="s">
        <v>5</v>
      </c>
      <c r="F44" s="9" t="s">
        <v>6</v>
      </c>
    </row>
    <row r="45" spans="1:6" x14ac:dyDescent="0.25">
      <c r="A45" t="s">
        <v>76</v>
      </c>
      <c r="B45" s="11">
        <v>115.2</v>
      </c>
      <c r="C45" s="11" t="s">
        <v>33</v>
      </c>
      <c r="D45" s="11">
        <v>2.5</v>
      </c>
      <c r="E45" s="11">
        <v>-0.5</v>
      </c>
      <c r="F45" s="11">
        <v>-0.3</v>
      </c>
    </row>
    <row r="46" spans="1:6" x14ac:dyDescent="0.25">
      <c r="A46" t="s">
        <v>77</v>
      </c>
      <c r="B46" s="11">
        <v>90</v>
      </c>
      <c r="C46" s="11" t="s">
        <v>71</v>
      </c>
      <c r="D46" s="11">
        <v>-0.3</v>
      </c>
      <c r="E46" s="11">
        <v>0.2</v>
      </c>
      <c r="F46" s="11">
        <v>1</v>
      </c>
    </row>
    <row r="47" spans="1:6" x14ac:dyDescent="0.25">
      <c r="A47" t="s">
        <v>78</v>
      </c>
      <c r="B47" s="11">
        <v>99</v>
      </c>
      <c r="C47" s="11" t="s">
        <v>71</v>
      </c>
      <c r="D47" s="11">
        <v>-0.5</v>
      </c>
      <c r="E47" s="11">
        <v>2</v>
      </c>
      <c r="F47" s="11">
        <v>0.1</v>
      </c>
    </row>
    <row r="48" spans="1:6" x14ac:dyDescent="0.25">
      <c r="A48" t="s">
        <v>79</v>
      </c>
      <c r="B48" s="11">
        <v>98</v>
      </c>
      <c r="C48" s="11" t="s">
        <v>71</v>
      </c>
      <c r="D48" s="11">
        <v>2</v>
      </c>
      <c r="E48" s="11">
        <v>1.5</v>
      </c>
      <c r="F48" s="11">
        <v>1.8</v>
      </c>
    </row>
    <row r="50" spans="1:6" x14ac:dyDescent="0.25">
      <c r="A50" s="3" t="s">
        <v>80</v>
      </c>
    </row>
    <row r="51" spans="1:6" x14ac:dyDescent="0.25">
      <c r="A51" s="4" t="s">
        <v>1</v>
      </c>
      <c r="B51" s="9" t="s">
        <v>25</v>
      </c>
      <c r="C51" s="9" t="s">
        <v>3</v>
      </c>
      <c r="D51" s="9" t="s">
        <v>4</v>
      </c>
      <c r="E51" s="9" t="s">
        <v>5</v>
      </c>
      <c r="F51" s="9" t="s">
        <v>6</v>
      </c>
    </row>
    <row r="52" spans="1:6" x14ac:dyDescent="0.25">
      <c r="A52" t="s">
        <v>55</v>
      </c>
      <c r="B52" s="11">
        <v>5.5</v>
      </c>
      <c r="C52" s="11" t="s">
        <v>71</v>
      </c>
      <c r="D52" s="11">
        <v>-0.45</v>
      </c>
      <c r="E52" s="11">
        <v>0.2</v>
      </c>
      <c r="F52" s="11">
        <v>0.1</v>
      </c>
    </row>
    <row r="53" spans="1:6" x14ac:dyDescent="0.25">
      <c r="A53" t="s">
        <v>81</v>
      </c>
      <c r="B53" s="11">
        <v>6</v>
      </c>
      <c r="C53" s="11" t="s">
        <v>71</v>
      </c>
      <c r="D53" s="11">
        <v>-0.49</v>
      </c>
      <c r="E53" s="11">
        <v>0.15</v>
      </c>
      <c r="F53" s="11">
        <v>0.1</v>
      </c>
    </row>
    <row r="54" spans="1:6" x14ac:dyDescent="0.25">
      <c r="A54" t="s">
        <v>82</v>
      </c>
      <c r="B54" s="11">
        <v>4</v>
      </c>
      <c r="C54" s="11" t="s">
        <v>71</v>
      </c>
      <c r="D54" s="11">
        <v>-0.33</v>
      </c>
      <c r="E54" s="11">
        <v>0.2</v>
      </c>
      <c r="F54" s="11">
        <v>0.15</v>
      </c>
    </row>
    <row r="56" spans="1:6" x14ac:dyDescent="0.25">
      <c r="A56" s="3" t="s">
        <v>83</v>
      </c>
    </row>
    <row r="57" spans="1:6" x14ac:dyDescent="0.25">
      <c r="A57" s="4" t="s">
        <v>1</v>
      </c>
      <c r="B57" s="9" t="s">
        <v>25</v>
      </c>
      <c r="C57" s="9" t="s">
        <v>3</v>
      </c>
      <c r="D57" s="9" t="s">
        <v>4</v>
      </c>
      <c r="E57" s="9" t="s">
        <v>5</v>
      </c>
      <c r="F57" s="9" t="s">
        <v>6</v>
      </c>
    </row>
    <row r="58" spans="1:6" x14ac:dyDescent="0.25">
      <c r="A58" t="s">
        <v>84</v>
      </c>
      <c r="B58" s="11">
        <v>7.9</v>
      </c>
      <c r="C58" s="11" t="s">
        <v>71</v>
      </c>
      <c r="D58" s="11">
        <v>0.35</v>
      </c>
      <c r="E58" s="11">
        <v>-0.12</v>
      </c>
      <c r="F58" s="11">
        <v>-0.1</v>
      </c>
    </row>
    <row r="59" spans="1:6" x14ac:dyDescent="0.25">
      <c r="A59" t="s">
        <v>85</v>
      </c>
      <c r="B59" s="11">
        <v>3</v>
      </c>
      <c r="C59" s="11" t="s">
        <v>71</v>
      </c>
      <c r="D59" s="11">
        <v>0.13</v>
      </c>
      <c r="E59" s="11">
        <v>-0.1</v>
      </c>
      <c r="F59" s="11">
        <v>-0.1</v>
      </c>
    </row>
    <row r="60" spans="1:6" x14ac:dyDescent="0.25">
      <c r="A60" t="s">
        <v>86</v>
      </c>
      <c r="B60" s="11">
        <v>2</v>
      </c>
      <c r="C60" s="11" t="s">
        <v>71</v>
      </c>
      <c r="D60" s="11">
        <v>0.09</v>
      </c>
      <c r="E60" s="11">
        <v>-0.15</v>
      </c>
      <c r="F60" s="11">
        <v>-0.1</v>
      </c>
    </row>
    <row r="61" spans="1:6" x14ac:dyDescent="0.25">
      <c r="A61" t="s">
        <v>123</v>
      </c>
      <c r="B61" s="11">
        <v>45</v>
      </c>
      <c r="C61" s="11" t="s">
        <v>71</v>
      </c>
      <c r="D61" s="11">
        <v>-0.15</v>
      </c>
      <c r="E61" s="11">
        <v>0.3</v>
      </c>
      <c r="F61" s="11">
        <v>-0.08</v>
      </c>
    </row>
    <row r="62" spans="1:6" x14ac:dyDescent="0.25">
      <c r="A62" t="s">
        <v>124</v>
      </c>
      <c r="B62" s="11">
        <v>10</v>
      </c>
      <c r="C62" s="11" t="s">
        <v>71</v>
      </c>
      <c r="D62" s="11">
        <v>-0.1</v>
      </c>
      <c r="E62" s="11">
        <v>0.15</v>
      </c>
      <c r="F62" s="11">
        <v>-0.05</v>
      </c>
    </row>
    <row r="63" spans="1:6" x14ac:dyDescent="0.25">
      <c r="A63" t="s">
        <v>125</v>
      </c>
      <c r="B63" s="11">
        <v>4</v>
      </c>
      <c r="C63" s="11" t="s">
        <v>71</v>
      </c>
      <c r="D63" s="11">
        <v>-0.06</v>
      </c>
      <c r="E63" s="11">
        <v>0.08</v>
      </c>
      <c r="F63" s="11">
        <v>-0.04</v>
      </c>
    </row>
    <row r="64" spans="1:6" x14ac:dyDescent="0.25">
      <c r="A64" t="s">
        <v>126</v>
      </c>
      <c r="B64" s="11">
        <v>4</v>
      </c>
      <c r="C64" s="11" t="s">
        <v>71</v>
      </c>
      <c r="D64" s="11">
        <v>-0.12</v>
      </c>
      <c r="E64" s="11">
        <v>-0.05</v>
      </c>
      <c r="F64" s="11">
        <v>0.3</v>
      </c>
    </row>
    <row r="65" spans="1:6" x14ac:dyDescent="0.25">
      <c r="A65" t="s">
        <v>127</v>
      </c>
      <c r="B65" s="11">
        <v>1.2</v>
      </c>
      <c r="C65" s="11" t="s">
        <v>71</v>
      </c>
      <c r="D65" s="11">
        <v>-0.08</v>
      </c>
      <c r="E65" s="11">
        <v>-0.03</v>
      </c>
      <c r="F65" s="11">
        <v>0.2</v>
      </c>
    </row>
    <row r="66" spans="1:6" x14ac:dyDescent="0.25">
      <c r="A66" t="s">
        <v>128</v>
      </c>
      <c r="B66" s="11">
        <v>0.8</v>
      </c>
      <c r="C66" s="11" t="s">
        <v>71</v>
      </c>
      <c r="D66" s="11">
        <v>-0.05</v>
      </c>
      <c r="E66" s="11">
        <v>-0.02</v>
      </c>
      <c r="F66" s="11">
        <v>0.09</v>
      </c>
    </row>
    <row r="68" spans="1:6" x14ac:dyDescent="0.25">
      <c r="A68" s="3" t="s">
        <v>87</v>
      </c>
    </row>
    <row r="69" spans="1:6" x14ac:dyDescent="0.25">
      <c r="A69" s="4" t="s">
        <v>1</v>
      </c>
      <c r="B69" s="9" t="s">
        <v>25</v>
      </c>
      <c r="C69" s="9" t="s">
        <v>3</v>
      </c>
      <c r="D69" s="9" t="s">
        <v>4</v>
      </c>
      <c r="E69" s="9" t="s">
        <v>5</v>
      </c>
      <c r="F69" s="9" t="s">
        <v>6</v>
      </c>
    </row>
    <row r="70" spans="1:6" x14ac:dyDescent="0.25">
      <c r="A70" t="s">
        <v>88</v>
      </c>
      <c r="B70" s="11">
        <v>10.5</v>
      </c>
      <c r="C70" s="11" t="s">
        <v>89</v>
      </c>
      <c r="D70" s="11">
        <v>-0.15</v>
      </c>
      <c r="E70" s="11">
        <v>-0.1</v>
      </c>
      <c r="F70" s="11">
        <v>-0.1</v>
      </c>
    </row>
    <row r="71" spans="1:6" x14ac:dyDescent="0.25">
      <c r="A71" t="s">
        <v>90</v>
      </c>
      <c r="B71" s="11">
        <v>5</v>
      </c>
      <c r="C71" s="11" t="s">
        <v>15</v>
      </c>
      <c r="D71" s="11">
        <v>-0.1</v>
      </c>
      <c r="E71" s="11">
        <v>-0.08</v>
      </c>
      <c r="F71" s="11">
        <v>-0.1</v>
      </c>
    </row>
    <row r="73" spans="1:6" x14ac:dyDescent="0.25">
      <c r="A73" s="3" t="s">
        <v>42</v>
      </c>
    </row>
    <row r="74" spans="1:6" x14ac:dyDescent="0.25">
      <c r="A74" s="4" t="s">
        <v>1</v>
      </c>
      <c r="B74" s="9" t="s">
        <v>25</v>
      </c>
      <c r="C74" s="9" t="s">
        <v>3</v>
      </c>
      <c r="D74" s="9" t="s">
        <v>4</v>
      </c>
      <c r="E74" s="9" t="s">
        <v>5</v>
      </c>
      <c r="F74" s="9" t="s">
        <v>6</v>
      </c>
    </row>
    <row r="75" spans="1:6" x14ac:dyDescent="0.25">
      <c r="A75" t="s">
        <v>91</v>
      </c>
      <c r="B75" s="11">
        <v>4.5</v>
      </c>
      <c r="C75" s="11" t="s">
        <v>15</v>
      </c>
      <c r="D75" s="11">
        <v>-0.35</v>
      </c>
      <c r="E75" s="11">
        <v>-0.3</v>
      </c>
      <c r="F75" s="11">
        <v>-0.2</v>
      </c>
    </row>
    <row r="76" spans="1:6" x14ac:dyDescent="0.25">
      <c r="A76" t="s">
        <v>92</v>
      </c>
      <c r="D76" s="11">
        <v>-0.3</v>
      </c>
      <c r="E76" s="11">
        <v>-0.28000000000000003</v>
      </c>
      <c r="F76" s="11">
        <v>-0.25</v>
      </c>
    </row>
    <row r="77" spans="1:6" x14ac:dyDescent="0.25">
      <c r="A77" t="s">
        <v>93</v>
      </c>
      <c r="D77" s="11">
        <v>-0.28000000000000003</v>
      </c>
      <c r="E77" s="11">
        <v>-0.45</v>
      </c>
      <c r="F77" s="11">
        <v>-0.3</v>
      </c>
    </row>
    <row r="79" spans="1:6" x14ac:dyDescent="0.25">
      <c r="A79" s="3" t="s">
        <v>94</v>
      </c>
    </row>
    <row r="80" spans="1:6" x14ac:dyDescent="0.25">
      <c r="A80" s="4" t="s">
        <v>1</v>
      </c>
      <c r="B80" s="9" t="s">
        <v>25</v>
      </c>
      <c r="C80" s="9" t="s">
        <v>3</v>
      </c>
      <c r="D80" s="9" t="s">
        <v>4</v>
      </c>
      <c r="E80" s="9" t="s">
        <v>5</v>
      </c>
      <c r="F80" s="9" t="s">
        <v>6</v>
      </c>
    </row>
    <row r="81" spans="1:6" x14ac:dyDescent="0.25">
      <c r="A81" t="s">
        <v>95</v>
      </c>
      <c r="D81" s="11">
        <v>-0.5</v>
      </c>
      <c r="E81" s="11">
        <v>-0.1</v>
      </c>
      <c r="F81" s="11">
        <v>-0.1</v>
      </c>
    </row>
    <row r="82" spans="1:6" x14ac:dyDescent="0.25">
      <c r="A82" t="s">
        <v>113</v>
      </c>
      <c r="D82" s="11">
        <v>-0.5</v>
      </c>
      <c r="E82" s="11">
        <v>-0.08</v>
      </c>
      <c r="F82" s="11">
        <v>-0.2</v>
      </c>
    </row>
    <row r="83" spans="1:6" x14ac:dyDescent="0.25">
      <c r="A83" t="s">
        <v>96</v>
      </c>
      <c r="C83" s="11" t="s">
        <v>112</v>
      </c>
      <c r="D83" s="11">
        <v>-0.4</v>
      </c>
      <c r="E83" s="11">
        <v>-0.05</v>
      </c>
      <c r="F83" s="11">
        <v>-0.1</v>
      </c>
    </row>
    <row r="85" spans="1:6" x14ac:dyDescent="0.25">
      <c r="A85" s="3" t="s">
        <v>44</v>
      </c>
    </row>
    <row r="86" spans="1:6" x14ac:dyDescent="0.25">
      <c r="A86" s="4" t="s">
        <v>1</v>
      </c>
      <c r="B86" s="9" t="s">
        <v>25</v>
      </c>
      <c r="C86" s="9" t="s">
        <v>3</v>
      </c>
      <c r="D86" s="9" t="s">
        <v>4</v>
      </c>
      <c r="E86" s="9" t="s">
        <v>5</v>
      </c>
      <c r="F86" s="9" t="s">
        <v>6</v>
      </c>
    </row>
    <row r="87" spans="1:6" x14ac:dyDescent="0.25">
      <c r="A87" t="s">
        <v>97</v>
      </c>
      <c r="B87" s="11">
        <v>3.5</v>
      </c>
      <c r="C87" s="11" t="s">
        <v>15</v>
      </c>
      <c r="D87" s="11">
        <v>-0.3</v>
      </c>
      <c r="E87" s="11">
        <v>-0.2</v>
      </c>
      <c r="F87" s="11">
        <v>-0.25</v>
      </c>
    </row>
    <row r="88" spans="1:6" x14ac:dyDescent="0.25">
      <c r="A88" t="s">
        <v>98</v>
      </c>
      <c r="B88" s="11">
        <v>5.5</v>
      </c>
      <c r="C88" s="11" t="s">
        <v>15</v>
      </c>
      <c r="D88" s="11">
        <v>-0.35</v>
      </c>
      <c r="E88" s="11">
        <v>-0.3</v>
      </c>
      <c r="F88" s="11">
        <v>-0.32</v>
      </c>
    </row>
    <row r="89" spans="1:6" x14ac:dyDescent="0.25">
      <c r="A89" t="s">
        <v>111</v>
      </c>
      <c r="B89" s="11">
        <v>15</v>
      </c>
      <c r="C89" s="11" t="s">
        <v>15</v>
      </c>
      <c r="D89" s="11">
        <v>-0.25</v>
      </c>
      <c r="E89" s="11">
        <v>-0.4</v>
      </c>
      <c r="F89" s="11">
        <v>-0.3</v>
      </c>
    </row>
    <row r="91" spans="1:6" x14ac:dyDescent="0.25">
      <c r="A91" s="3" t="s">
        <v>45</v>
      </c>
    </row>
    <row r="92" spans="1:6" x14ac:dyDescent="0.25">
      <c r="A92" s="4" t="s">
        <v>1</v>
      </c>
      <c r="B92" s="9" t="s">
        <v>25</v>
      </c>
      <c r="C92" s="9" t="s">
        <v>3</v>
      </c>
      <c r="D92" s="9" t="s">
        <v>4</v>
      </c>
      <c r="E92" s="9" t="s">
        <v>5</v>
      </c>
      <c r="F92" s="9" t="s">
        <v>6</v>
      </c>
    </row>
    <row r="93" spans="1:6" x14ac:dyDescent="0.25">
      <c r="A93" t="s">
        <v>99</v>
      </c>
      <c r="B93" s="11">
        <v>60</v>
      </c>
      <c r="C93" s="11" t="s">
        <v>100</v>
      </c>
      <c r="D93" s="11">
        <v>-0.45</v>
      </c>
      <c r="E93" s="11">
        <v>-0.55000000000000004</v>
      </c>
      <c r="F93" s="11">
        <v>-0.45</v>
      </c>
    </row>
    <row r="94" spans="1:6" x14ac:dyDescent="0.25">
      <c r="A94" t="s">
        <v>101</v>
      </c>
      <c r="B94" s="11">
        <v>12</v>
      </c>
      <c r="C94" s="11" t="s">
        <v>15</v>
      </c>
      <c r="D94" s="11">
        <v>-0.4</v>
      </c>
      <c r="E94" s="11">
        <v>-0.5</v>
      </c>
      <c r="F94" s="11">
        <v>-0.45</v>
      </c>
    </row>
    <row r="95" spans="1:6" x14ac:dyDescent="0.25">
      <c r="A95" t="s">
        <v>122</v>
      </c>
      <c r="B95" s="11">
        <v>10</v>
      </c>
      <c r="C95" s="11" t="s">
        <v>15</v>
      </c>
      <c r="D95" s="11">
        <v>-0.45</v>
      </c>
      <c r="E95" s="11">
        <v>-0.55000000000000004</v>
      </c>
      <c r="F95" s="11">
        <v>-0.45</v>
      </c>
    </row>
    <row r="97" spans="1:6" x14ac:dyDescent="0.25">
      <c r="A97" s="3" t="s">
        <v>46</v>
      </c>
    </row>
    <row r="98" spans="1:6" x14ac:dyDescent="0.25">
      <c r="A98" s="4" t="s">
        <v>1</v>
      </c>
      <c r="B98" s="9" t="s">
        <v>25</v>
      </c>
      <c r="C98" s="9" t="s">
        <v>3</v>
      </c>
      <c r="D98" s="9" t="s">
        <v>4</v>
      </c>
      <c r="E98" s="9" t="s">
        <v>5</v>
      </c>
      <c r="F98" s="9" t="s">
        <v>6</v>
      </c>
    </row>
    <row r="99" spans="1:6" x14ac:dyDescent="0.25">
      <c r="A99" t="s">
        <v>102</v>
      </c>
      <c r="B99" s="11">
        <v>132</v>
      </c>
      <c r="C99" s="11" t="s">
        <v>71</v>
      </c>
      <c r="D99" s="11">
        <v>-0.2</v>
      </c>
      <c r="E99" s="11">
        <v>-0.22</v>
      </c>
      <c r="F99" s="11">
        <v>-0.18</v>
      </c>
    </row>
    <row r="100" spans="1:6" x14ac:dyDescent="0.25">
      <c r="A100" t="s">
        <v>103</v>
      </c>
      <c r="B100" s="11">
        <v>3.5</v>
      </c>
      <c r="C100" s="11" t="s">
        <v>15</v>
      </c>
      <c r="D100" s="11">
        <v>-0.12</v>
      </c>
      <c r="E100" s="11">
        <v>-0.18</v>
      </c>
      <c r="F100" s="11">
        <v>-0.1</v>
      </c>
    </row>
    <row r="101" spans="1:6" x14ac:dyDescent="0.25">
      <c r="A101" t="s">
        <v>104</v>
      </c>
      <c r="B101" s="11">
        <v>4</v>
      </c>
      <c r="C101" s="11" t="s">
        <v>15</v>
      </c>
      <c r="D101" s="11">
        <v>-0.15</v>
      </c>
      <c r="E101" s="11">
        <v>-0.1</v>
      </c>
      <c r="F101" s="11">
        <v>-7.0000000000000007E-2</v>
      </c>
    </row>
    <row r="103" spans="1:6" x14ac:dyDescent="0.25">
      <c r="A103" s="3" t="s">
        <v>105</v>
      </c>
    </row>
    <row r="104" spans="1:6" x14ac:dyDescent="0.25">
      <c r="A104" s="4" t="s">
        <v>1</v>
      </c>
      <c r="B104" s="9" t="s">
        <v>25</v>
      </c>
      <c r="C104" s="9" t="s">
        <v>3</v>
      </c>
      <c r="D104" s="9" t="s">
        <v>4</v>
      </c>
      <c r="E104" s="9" t="s">
        <v>5</v>
      </c>
      <c r="F104" s="9" t="s">
        <v>6</v>
      </c>
    </row>
    <row r="105" spans="1:6" x14ac:dyDescent="0.25">
      <c r="A105" t="s">
        <v>106</v>
      </c>
      <c r="B105" s="11">
        <v>87</v>
      </c>
      <c r="C105" s="11" t="s">
        <v>15</v>
      </c>
      <c r="D105" s="11">
        <v>0.14000000000000001</v>
      </c>
      <c r="E105" s="11">
        <v>0.12</v>
      </c>
      <c r="F105" s="11">
        <v>0.1</v>
      </c>
    </row>
    <row r="106" spans="1:6" x14ac:dyDescent="0.25">
      <c r="A106" t="s">
        <v>107</v>
      </c>
      <c r="B106" s="11">
        <v>52</v>
      </c>
      <c r="C106" s="11" t="s">
        <v>15</v>
      </c>
      <c r="D106" s="11">
        <v>0.16</v>
      </c>
      <c r="E106" s="11">
        <v>0.15</v>
      </c>
      <c r="F106" s="11">
        <v>0.12</v>
      </c>
    </row>
    <row r="107" spans="1:6" x14ac:dyDescent="0.25">
      <c r="A107" t="s">
        <v>120</v>
      </c>
      <c r="B107" s="11">
        <v>2</v>
      </c>
      <c r="C107" s="11" t="s">
        <v>15</v>
      </c>
      <c r="D107" s="11">
        <v>0.1</v>
      </c>
      <c r="E107" s="11">
        <v>0.11</v>
      </c>
      <c r="F107" s="11">
        <v>0.09</v>
      </c>
    </row>
    <row r="108" spans="1:6" x14ac:dyDescent="0.25">
      <c r="A108" t="s">
        <v>121</v>
      </c>
      <c r="B108" s="11">
        <v>3</v>
      </c>
      <c r="C108" s="11" t="s">
        <v>15</v>
      </c>
      <c r="D108" s="11">
        <v>0.08</v>
      </c>
      <c r="E108" s="11">
        <v>0.09</v>
      </c>
      <c r="F108" s="11">
        <v>0.04</v>
      </c>
    </row>
    <row r="110" spans="1:6" x14ac:dyDescent="0.25">
      <c r="A110" s="3" t="s">
        <v>48</v>
      </c>
    </row>
    <row r="111" spans="1:6" x14ac:dyDescent="0.25">
      <c r="A111" s="4" t="s">
        <v>1</v>
      </c>
      <c r="B111" s="9" t="s">
        <v>25</v>
      </c>
      <c r="C111" s="9" t="s">
        <v>3</v>
      </c>
      <c r="D111" s="9" t="s">
        <v>4</v>
      </c>
      <c r="E111" s="9" t="s">
        <v>5</v>
      </c>
      <c r="F111" s="9" t="s">
        <v>6</v>
      </c>
    </row>
    <row r="112" spans="1:6" x14ac:dyDescent="0.25">
      <c r="A112" t="s">
        <v>108</v>
      </c>
      <c r="B112" s="11">
        <v>2</v>
      </c>
      <c r="C112" s="11" t="s">
        <v>109</v>
      </c>
      <c r="D112" s="11">
        <v>0.18</v>
      </c>
      <c r="E112" s="11">
        <v>0.04</v>
      </c>
      <c r="F112" s="11">
        <v>0.06</v>
      </c>
    </row>
    <row r="113" spans="1:6" x14ac:dyDescent="0.25">
      <c r="A113" t="s">
        <v>110</v>
      </c>
      <c r="B113" s="11">
        <v>10</v>
      </c>
      <c r="C113" s="11" t="s">
        <v>109</v>
      </c>
      <c r="D113" s="11">
        <v>0.14000000000000001</v>
      </c>
      <c r="E113" s="11">
        <v>0.03</v>
      </c>
      <c r="F113" s="11">
        <v>0.05</v>
      </c>
    </row>
    <row r="114" spans="1:6" x14ac:dyDescent="0.25">
      <c r="A114" t="s">
        <v>117</v>
      </c>
      <c r="B114" s="11">
        <v>0.45</v>
      </c>
      <c r="C114" s="11" t="s">
        <v>118</v>
      </c>
      <c r="D114" s="11">
        <v>0.12</v>
      </c>
      <c r="E114" s="11">
        <v>0.02</v>
      </c>
      <c r="F114" s="11">
        <v>0.03</v>
      </c>
    </row>
    <row r="115" spans="1:6" x14ac:dyDescent="0.25">
      <c r="A115" t="s">
        <v>119</v>
      </c>
      <c r="B115" s="11">
        <v>14</v>
      </c>
      <c r="C115" s="11" t="s">
        <v>15</v>
      </c>
      <c r="D115" s="11">
        <v>0.06</v>
      </c>
      <c r="E115" s="11">
        <v>0.02</v>
      </c>
      <c r="F115" s="11">
        <v>0.04</v>
      </c>
    </row>
    <row r="117" spans="1:6" x14ac:dyDescent="0.25">
      <c r="A117" s="12" t="s">
        <v>129</v>
      </c>
      <c r="B117" s="9" t="s">
        <v>25</v>
      </c>
      <c r="C117" s="9" t="s">
        <v>3</v>
      </c>
      <c r="D117" s="9" t="s">
        <v>4</v>
      </c>
      <c r="E117" s="9" t="s">
        <v>5</v>
      </c>
      <c r="F117" s="9" t="s">
        <v>6</v>
      </c>
    </row>
    <row r="118" spans="1:6" x14ac:dyDescent="0.25">
      <c r="A118" s="7" t="s">
        <v>1</v>
      </c>
      <c r="B118"/>
      <c r="C118"/>
      <c r="D118"/>
      <c r="E118"/>
      <c r="F118"/>
    </row>
    <row r="119" spans="1:6" x14ac:dyDescent="0.25">
      <c r="A119" t="s">
        <v>133</v>
      </c>
      <c r="B119" s="13">
        <v>3395</v>
      </c>
      <c r="C119" t="s">
        <v>134</v>
      </c>
      <c r="D119" s="1">
        <v>0.02</v>
      </c>
      <c r="E119" s="11">
        <v>0.02</v>
      </c>
      <c r="F119" s="11">
        <v>0.04</v>
      </c>
    </row>
    <row r="120" spans="1:6" x14ac:dyDescent="0.25">
      <c r="A120" t="s">
        <v>135</v>
      </c>
      <c r="B120" s="13">
        <v>3915</v>
      </c>
      <c r="C120" t="s">
        <v>134</v>
      </c>
      <c r="D120" s="11">
        <v>0.02</v>
      </c>
      <c r="E120" s="11">
        <v>0.02</v>
      </c>
      <c r="F120" s="11">
        <v>0.04</v>
      </c>
    </row>
    <row r="121" spans="1:6" x14ac:dyDescent="0.25">
      <c r="A121" t="s">
        <v>136</v>
      </c>
      <c r="B121" s="11" t="s">
        <v>137</v>
      </c>
      <c r="C121" t="s">
        <v>138</v>
      </c>
      <c r="D121" s="11">
        <v>0.01</v>
      </c>
      <c r="E121" s="11">
        <v>0.01</v>
      </c>
      <c r="F121" s="11">
        <v>0.02</v>
      </c>
    </row>
    <row r="122" spans="1:6" x14ac:dyDescent="0.25">
      <c r="A122" t="s">
        <v>139</v>
      </c>
      <c r="B122" s="11" t="s">
        <v>140</v>
      </c>
      <c r="C122" t="s">
        <v>141</v>
      </c>
      <c r="D122" s="11">
        <v>0.01</v>
      </c>
      <c r="E122" s="11">
        <v>0.01</v>
      </c>
      <c r="F122" s="11">
        <v>0.03</v>
      </c>
    </row>
    <row r="125" spans="1:6" x14ac:dyDescent="0.25">
      <c r="A125" s="12" t="s">
        <v>131</v>
      </c>
      <c r="B125" s="9" t="s">
        <v>25</v>
      </c>
      <c r="C125" s="9" t="s">
        <v>3</v>
      </c>
      <c r="D125" s="9" t="s">
        <v>4</v>
      </c>
      <c r="E125" s="9" t="s">
        <v>5</v>
      </c>
      <c r="F125" s="9" t="s">
        <v>6</v>
      </c>
    </row>
    <row r="126" spans="1:6" x14ac:dyDescent="0.25">
      <c r="A126" s="7" t="s">
        <v>1</v>
      </c>
      <c r="B126"/>
      <c r="C126"/>
      <c r="D126"/>
      <c r="E126"/>
      <c r="F126"/>
    </row>
    <row r="127" spans="1:6" x14ac:dyDescent="0.25">
      <c r="A127" t="s">
        <v>142</v>
      </c>
      <c r="B127" s="1" t="s">
        <v>143</v>
      </c>
      <c r="C127" s="11" t="s">
        <v>144</v>
      </c>
      <c r="D127" s="11">
        <v>0</v>
      </c>
      <c r="E127" s="11">
        <v>0</v>
      </c>
      <c r="F127" s="11">
        <v>0.2</v>
      </c>
    </row>
    <row r="128" spans="1:6" x14ac:dyDescent="0.25">
      <c r="A128" t="s">
        <v>145</v>
      </c>
      <c r="B128" s="1" t="s">
        <v>146</v>
      </c>
      <c r="C128" s="1" t="s">
        <v>147</v>
      </c>
      <c r="D128" s="11">
        <v>0</v>
      </c>
      <c r="E128" s="11">
        <v>0</v>
      </c>
      <c r="F128" s="11">
        <v>0.1</v>
      </c>
    </row>
    <row r="129" spans="1:6" x14ac:dyDescent="0.25">
      <c r="A129" t="s">
        <v>148</v>
      </c>
      <c r="B129" s="11">
        <v>241.4</v>
      </c>
      <c r="C129" s="11" t="s">
        <v>149</v>
      </c>
      <c r="D129" s="11">
        <v>0.01</v>
      </c>
      <c r="E129" s="11">
        <v>0.02</v>
      </c>
      <c r="F129" s="11">
        <v>0.05</v>
      </c>
    </row>
    <row r="130" spans="1:6" x14ac:dyDescent="0.25">
      <c r="A130" t="s">
        <v>150</v>
      </c>
      <c r="B130" s="11">
        <v>810</v>
      </c>
      <c r="C130" s="1" t="s">
        <v>151</v>
      </c>
      <c r="D130" s="11">
        <v>0.01</v>
      </c>
      <c r="E130" s="11">
        <v>0.02</v>
      </c>
      <c r="F130" s="1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D227-F931-49FF-A5D0-D9CFC479DDB0}">
  <dimension ref="A1:F50"/>
  <sheetViews>
    <sheetView tabSelected="1" zoomScale="73" workbookViewId="0">
      <selection activeCell="B1" sqref="B1"/>
    </sheetView>
  </sheetViews>
  <sheetFormatPr defaultRowHeight="15" x14ac:dyDescent="0.25"/>
  <cols>
    <col min="1" max="1" width="49.28515625" bestFit="1" customWidth="1"/>
    <col min="2" max="2" width="36.42578125" style="11" bestFit="1" customWidth="1"/>
    <col min="3" max="3" width="22.28515625" style="11" bestFit="1" customWidth="1"/>
    <col min="4" max="4" width="24.28515625" style="11" bestFit="1" customWidth="1"/>
    <col min="5" max="5" width="27.5703125" style="11" bestFit="1" customWidth="1"/>
    <col min="6" max="6" width="24.5703125" style="11" bestFit="1" customWidth="1"/>
  </cols>
  <sheetData>
    <row r="1" spans="1:6" x14ac:dyDescent="0.25">
      <c r="B1" s="15" t="s">
        <v>182</v>
      </c>
    </row>
    <row r="2" spans="1:6" x14ac:dyDescent="0.25">
      <c r="A2" s="3" t="s">
        <v>63</v>
      </c>
    </row>
    <row r="3" spans="1:6" x14ac:dyDescent="0.25">
      <c r="A3" s="4" t="s">
        <v>1</v>
      </c>
      <c r="B3" s="9" t="s">
        <v>25</v>
      </c>
      <c r="C3" s="9" t="s">
        <v>3</v>
      </c>
      <c r="D3" s="9" t="s">
        <v>4</v>
      </c>
      <c r="E3" s="9" t="s">
        <v>5</v>
      </c>
      <c r="F3" s="9" t="s">
        <v>6</v>
      </c>
    </row>
    <row r="4" spans="1:6" x14ac:dyDescent="0.25">
      <c r="A4" t="s">
        <v>155</v>
      </c>
      <c r="B4" s="11">
        <v>5.5</v>
      </c>
      <c r="C4" s="11" t="s">
        <v>15</v>
      </c>
      <c r="D4" s="11">
        <v>-0.05</v>
      </c>
      <c r="E4" s="11">
        <v>-0.04</v>
      </c>
      <c r="F4" s="11">
        <v>-0.05</v>
      </c>
    </row>
    <row r="5" spans="1:6" x14ac:dyDescent="0.25">
      <c r="A5" t="s">
        <v>156</v>
      </c>
      <c r="B5" s="11">
        <v>-3.8</v>
      </c>
      <c r="C5" s="11" t="s">
        <v>15</v>
      </c>
      <c r="D5" s="11">
        <v>-0.01</v>
      </c>
      <c r="E5" s="11">
        <v>-0.02</v>
      </c>
      <c r="F5" s="11">
        <v>-0.01</v>
      </c>
    </row>
    <row r="6" spans="1:6" x14ac:dyDescent="0.25">
      <c r="A6" t="s">
        <v>157</v>
      </c>
      <c r="B6" s="11">
        <v>5.4</v>
      </c>
      <c r="C6" s="11" t="s">
        <v>15</v>
      </c>
      <c r="D6" s="11">
        <v>-0.1</v>
      </c>
      <c r="E6" s="11">
        <v>-0.2</v>
      </c>
      <c r="F6" s="11">
        <v>-0.1</v>
      </c>
    </row>
    <row r="8" spans="1:6" x14ac:dyDescent="0.25">
      <c r="A8" s="3" t="s">
        <v>152</v>
      </c>
    </row>
    <row r="9" spans="1:6" x14ac:dyDescent="0.25">
      <c r="A9" s="4" t="s">
        <v>1</v>
      </c>
      <c r="B9" s="9" t="s">
        <v>25</v>
      </c>
      <c r="C9" s="9" t="s">
        <v>3</v>
      </c>
      <c r="D9" s="9" t="s">
        <v>4</v>
      </c>
      <c r="E9" s="9" t="s">
        <v>5</v>
      </c>
      <c r="F9" s="9" t="s">
        <v>6</v>
      </c>
    </row>
    <row r="10" spans="1:6" x14ac:dyDescent="0.25">
      <c r="A10" t="s">
        <v>158</v>
      </c>
      <c r="B10" s="11">
        <v>7.1</v>
      </c>
      <c r="C10" s="11" t="s">
        <v>168</v>
      </c>
      <c r="D10" s="11">
        <v>-0.01</v>
      </c>
      <c r="E10" s="11">
        <v>-0.02</v>
      </c>
      <c r="F10" s="11">
        <v>-0.01</v>
      </c>
    </row>
    <row r="11" spans="1:6" x14ac:dyDescent="0.25">
      <c r="A11" t="s">
        <v>159</v>
      </c>
      <c r="B11" s="11">
        <v>3</v>
      </c>
      <c r="C11" s="11" t="s">
        <v>15</v>
      </c>
      <c r="D11" s="11">
        <v>-0.05</v>
      </c>
      <c r="E11" s="11">
        <v>-0.04</v>
      </c>
      <c r="F11" s="11">
        <v>-0.05</v>
      </c>
    </row>
    <row r="12" spans="1:6" x14ac:dyDescent="0.25">
      <c r="A12" t="s">
        <v>160</v>
      </c>
      <c r="B12" s="11">
        <v>105</v>
      </c>
      <c r="C12" s="11" t="s">
        <v>29</v>
      </c>
      <c r="D12" s="11">
        <v>-0.3</v>
      </c>
      <c r="E12" s="11">
        <v>-0.2</v>
      </c>
      <c r="F12" s="11">
        <v>-0.1</v>
      </c>
    </row>
    <row r="14" spans="1:6" x14ac:dyDescent="0.25">
      <c r="A14" s="3" t="s">
        <v>66</v>
      </c>
    </row>
    <row r="15" spans="1:6" x14ac:dyDescent="0.25">
      <c r="A15" s="4" t="s">
        <v>1</v>
      </c>
      <c r="B15" s="9" t="s">
        <v>25</v>
      </c>
      <c r="C15" s="9" t="s">
        <v>3</v>
      </c>
      <c r="D15" s="9" t="s">
        <v>4</v>
      </c>
      <c r="E15" s="9" t="s">
        <v>5</v>
      </c>
      <c r="F15" s="9" t="s">
        <v>6</v>
      </c>
    </row>
    <row r="16" spans="1:6" x14ac:dyDescent="0.25">
      <c r="A16" t="s">
        <v>161</v>
      </c>
      <c r="B16" s="11">
        <v>5.3</v>
      </c>
      <c r="C16" s="11" t="s">
        <v>15</v>
      </c>
      <c r="D16" s="11">
        <v>-0.01</v>
      </c>
      <c r="E16" s="11">
        <v>-0.02</v>
      </c>
      <c r="F16" s="11">
        <v>-0.01</v>
      </c>
    </row>
    <row r="17" spans="1:6" x14ac:dyDescent="0.25">
      <c r="A17" t="s">
        <v>162</v>
      </c>
      <c r="B17" s="11">
        <v>5.0999999999999996</v>
      </c>
      <c r="C17" s="11" t="s">
        <v>15</v>
      </c>
      <c r="D17" s="11">
        <v>-0.01</v>
      </c>
      <c r="E17" s="11">
        <v>-0.01</v>
      </c>
      <c r="F17" s="11">
        <v>-0.01</v>
      </c>
    </row>
    <row r="18" spans="1:6" x14ac:dyDescent="0.25">
      <c r="A18" t="s">
        <v>163</v>
      </c>
      <c r="B18" s="11">
        <v>89</v>
      </c>
      <c r="C18" s="11" t="s">
        <v>29</v>
      </c>
      <c r="D18" s="11">
        <v>-0.05</v>
      </c>
      <c r="E18" s="11">
        <v>-0.04</v>
      </c>
      <c r="F18" s="11">
        <v>-0.05</v>
      </c>
    </row>
    <row r="20" spans="1:6" x14ac:dyDescent="0.25">
      <c r="A20" s="3" t="s">
        <v>153</v>
      </c>
    </row>
    <row r="21" spans="1:6" x14ac:dyDescent="0.25">
      <c r="A21" s="4" t="s">
        <v>1</v>
      </c>
      <c r="B21" s="9" t="s">
        <v>25</v>
      </c>
      <c r="C21" s="9" t="s">
        <v>3</v>
      </c>
      <c r="D21" s="9" t="s">
        <v>4</v>
      </c>
      <c r="E21" s="9" t="s">
        <v>5</v>
      </c>
      <c r="F21" s="9" t="s">
        <v>6</v>
      </c>
    </row>
    <row r="22" spans="1:6" x14ac:dyDescent="0.25">
      <c r="A22" t="s">
        <v>164</v>
      </c>
      <c r="B22" s="11">
        <v>300</v>
      </c>
      <c r="C22" s="11" t="s">
        <v>169</v>
      </c>
      <c r="D22" s="11">
        <v>-0.05</v>
      </c>
      <c r="E22" s="11">
        <v>-0.04</v>
      </c>
      <c r="F22" s="11">
        <v>-0.05</v>
      </c>
    </row>
    <row r="23" spans="1:6" x14ac:dyDescent="0.25">
      <c r="A23" t="s">
        <v>165</v>
      </c>
      <c r="B23" s="11">
        <v>4</v>
      </c>
      <c r="C23" s="11" t="s">
        <v>15</v>
      </c>
      <c r="D23" s="11">
        <v>-0.3</v>
      </c>
      <c r="E23" s="11">
        <v>-0.2</v>
      </c>
      <c r="F23" s="11">
        <v>-0.1</v>
      </c>
    </row>
    <row r="25" spans="1:6" x14ac:dyDescent="0.25">
      <c r="A25" s="3" t="s">
        <v>67</v>
      </c>
    </row>
    <row r="26" spans="1:6" x14ac:dyDescent="0.25">
      <c r="A26" s="4" t="s">
        <v>1</v>
      </c>
      <c r="B26" s="9" t="s">
        <v>25</v>
      </c>
      <c r="C26" s="9" t="s">
        <v>3</v>
      </c>
      <c r="D26" s="9" t="s">
        <v>4</v>
      </c>
      <c r="E26" s="9" t="s">
        <v>5</v>
      </c>
      <c r="F26" s="9" t="s">
        <v>6</v>
      </c>
    </row>
    <row r="27" spans="1:6" x14ac:dyDescent="0.25">
      <c r="A27" t="s">
        <v>157</v>
      </c>
      <c r="B27" s="11">
        <v>9.9</v>
      </c>
      <c r="C27" s="11" t="s">
        <v>15</v>
      </c>
      <c r="D27" s="11">
        <v>-0.1</v>
      </c>
      <c r="E27" s="11">
        <v>-0.1</v>
      </c>
      <c r="F27" s="11">
        <v>-0.05</v>
      </c>
    </row>
    <row r="28" spans="1:6" x14ac:dyDescent="0.25">
      <c r="A28" t="s">
        <v>166</v>
      </c>
      <c r="B28" s="11">
        <v>31.5</v>
      </c>
      <c r="C28" s="11" t="s">
        <v>170</v>
      </c>
      <c r="D28" s="11">
        <v>-0.01</v>
      </c>
      <c r="E28" s="11">
        <v>-0.02</v>
      </c>
      <c r="F28" s="11">
        <v>-0.01</v>
      </c>
    </row>
    <row r="29" spans="1:6" x14ac:dyDescent="0.25">
      <c r="A29" t="s">
        <v>167</v>
      </c>
      <c r="B29" s="11">
        <v>18.2</v>
      </c>
      <c r="C29" s="11" t="s">
        <v>15</v>
      </c>
      <c r="D29" s="11">
        <v>-0.05</v>
      </c>
      <c r="E29" s="11">
        <v>-0.04</v>
      </c>
      <c r="F29" s="11">
        <v>-0.05</v>
      </c>
    </row>
    <row r="31" spans="1:6" x14ac:dyDescent="0.25">
      <c r="A31" s="3" t="s">
        <v>154</v>
      </c>
    </row>
    <row r="32" spans="1:6" x14ac:dyDescent="0.25">
      <c r="A32" s="4" t="s">
        <v>1</v>
      </c>
      <c r="B32" s="9" t="s">
        <v>25</v>
      </c>
      <c r="C32" s="9" t="s">
        <v>3</v>
      </c>
      <c r="D32" s="9" t="s">
        <v>4</v>
      </c>
      <c r="E32" s="9" t="s">
        <v>5</v>
      </c>
      <c r="F32" s="9" t="s">
        <v>6</v>
      </c>
    </row>
    <row r="33" spans="1:6" ht="3.6" customHeight="1" x14ac:dyDescent="0.25">
      <c r="A33" t="s">
        <v>171</v>
      </c>
      <c r="B33" s="11">
        <v>119.4</v>
      </c>
      <c r="C33" s="11" t="s">
        <v>33</v>
      </c>
      <c r="D33" s="11">
        <v>0.2</v>
      </c>
      <c r="E33" s="11">
        <v>-0.15</v>
      </c>
      <c r="F33" s="11">
        <v>0.05</v>
      </c>
    </row>
    <row r="36" spans="1:6" x14ac:dyDescent="0.25">
      <c r="A36" s="3" t="s">
        <v>75</v>
      </c>
    </row>
    <row r="37" spans="1:6" x14ac:dyDescent="0.25">
      <c r="A37" s="4" t="s">
        <v>1</v>
      </c>
      <c r="B37" s="9" t="s">
        <v>25</v>
      </c>
      <c r="C37" s="9" t="s">
        <v>3</v>
      </c>
      <c r="D37" s="9" t="s">
        <v>4</v>
      </c>
      <c r="E37" s="9" t="s">
        <v>5</v>
      </c>
      <c r="F37" s="9" t="s">
        <v>6</v>
      </c>
    </row>
    <row r="38" spans="1:6" x14ac:dyDescent="0.25">
      <c r="A38" t="s">
        <v>172</v>
      </c>
      <c r="B38" s="11">
        <v>4</v>
      </c>
      <c r="C38" s="11" t="s">
        <v>174</v>
      </c>
      <c r="D38" s="11">
        <v>-0.3</v>
      </c>
      <c r="E38" s="11">
        <v>-0.5</v>
      </c>
      <c r="F38" s="11">
        <v>-0.2</v>
      </c>
    </row>
    <row r="39" spans="1:6" x14ac:dyDescent="0.25">
      <c r="A39" t="s">
        <v>173</v>
      </c>
      <c r="B39" s="14">
        <v>7.4999999999999997E-2</v>
      </c>
      <c r="C39" s="11" t="s">
        <v>15</v>
      </c>
      <c r="D39" s="11">
        <v>-0.1</v>
      </c>
      <c r="E39" s="11">
        <v>-0.4</v>
      </c>
      <c r="F39" s="11">
        <v>-0.3</v>
      </c>
    </row>
    <row r="41" spans="1:6" x14ac:dyDescent="0.25">
      <c r="A41" s="3" t="s">
        <v>76</v>
      </c>
    </row>
    <row r="42" spans="1:6" x14ac:dyDescent="0.25">
      <c r="A42" s="4" t="s">
        <v>1</v>
      </c>
      <c r="B42" s="9" t="s">
        <v>25</v>
      </c>
      <c r="C42" s="9" t="s">
        <v>3</v>
      </c>
      <c r="D42" s="9" t="s">
        <v>4</v>
      </c>
      <c r="E42" s="9" t="s">
        <v>5</v>
      </c>
      <c r="F42" s="9" t="s">
        <v>6</v>
      </c>
    </row>
    <row r="43" spans="1:6" x14ac:dyDescent="0.25">
      <c r="A43" t="s">
        <v>175</v>
      </c>
      <c r="B43" s="11">
        <v>118.9</v>
      </c>
      <c r="C43" s="11" t="s">
        <v>33</v>
      </c>
      <c r="D43" s="11">
        <v>-0.4</v>
      </c>
      <c r="E43" s="11">
        <v>0.35</v>
      </c>
      <c r="F43" s="11">
        <v>0.6</v>
      </c>
    </row>
    <row r="44" spans="1:6" x14ac:dyDescent="0.25">
      <c r="A44" t="s">
        <v>176</v>
      </c>
      <c r="B44" s="11">
        <v>62.5</v>
      </c>
      <c r="C44" s="11" t="s">
        <v>177</v>
      </c>
      <c r="D44" s="11">
        <v>-0.45</v>
      </c>
      <c r="E44" s="11">
        <v>0.4</v>
      </c>
      <c r="F44" s="11">
        <v>0.65</v>
      </c>
    </row>
    <row r="46" spans="1:6" x14ac:dyDescent="0.25">
      <c r="A46" s="3" t="s">
        <v>79</v>
      </c>
    </row>
    <row r="47" spans="1:6" x14ac:dyDescent="0.25">
      <c r="A47" s="4" t="s">
        <v>1</v>
      </c>
      <c r="B47" s="9" t="s">
        <v>25</v>
      </c>
      <c r="C47" s="9" t="s">
        <v>3</v>
      </c>
      <c r="D47" s="9" t="s">
        <v>4</v>
      </c>
      <c r="E47" s="9" t="s">
        <v>5</v>
      </c>
      <c r="F47" s="9" t="s">
        <v>6</v>
      </c>
    </row>
    <row r="48" spans="1:6" x14ac:dyDescent="0.25">
      <c r="A48" t="s">
        <v>178</v>
      </c>
      <c r="B48" s="11">
        <v>1.85</v>
      </c>
      <c r="C48" s="11" t="s">
        <v>179</v>
      </c>
      <c r="D48" s="11">
        <v>-0.5</v>
      </c>
      <c r="E48" s="11">
        <v>-0.6</v>
      </c>
      <c r="F48" s="11">
        <v>-0.35</v>
      </c>
    </row>
    <row r="49" spans="1:6" x14ac:dyDescent="0.25">
      <c r="A49" t="s">
        <v>180</v>
      </c>
      <c r="B49" s="11">
        <v>59</v>
      </c>
      <c r="C49" s="11" t="s">
        <v>15</v>
      </c>
      <c r="D49" s="11">
        <v>0.3</v>
      </c>
      <c r="E49" s="11">
        <v>-0.5</v>
      </c>
      <c r="F49" s="11">
        <v>-0.2</v>
      </c>
    </row>
    <row r="50" spans="1:6" x14ac:dyDescent="0.25">
      <c r="A50" t="s">
        <v>181</v>
      </c>
      <c r="B50" s="11">
        <v>85</v>
      </c>
      <c r="C50" s="11" t="s">
        <v>115</v>
      </c>
      <c r="D50" s="11">
        <v>-0.4</v>
      </c>
      <c r="E50" s="11">
        <v>-0.7</v>
      </c>
      <c r="F50" s="11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Parent Variable</vt:lpstr>
      <vt:lpstr>parent</vt:lpstr>
      <vt:lpstr>childs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Safa Asif</dc:creator>
  <cp:keywords/>
  <dc:description/>
  <cp:lastModifiedBy>Zubair Akhtar</cp:lastModifiedBy>
  <cp:revision/>
  <dcterms:created xsi:type="dcterms:W3CDTF">2026-01-15T05:20:35Z</dcterms:created>
  <dcterms:modified xsi:type="dcterms:W3CDTF">2026-01-26T06:04:59Z</dcterms:modified>
  <cp:category/>
  <cp:contentStatus/>
</cp:coreProperties>
</file>